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dcartagena-my.sharepoint.com/personal/fmedina_aed_com_co/Documents/Escritorio/PROYECTOS/BAIA KRISTAL/Informes de Cartera/"/>
    </mc:Choice>
  </mc:AlternateContent>
  <xr:revisionPtr revIDLastSave="18" documentId="8_{BDD89E4F-9F6A-4373-AB65-80E92FC51CB0}" xr6:coauthVersionLast="47" xr6:coauthVersionMax="47" xr10:uidLastSave="{3D627CA4-DCAE-4043-8F63-0E316DD61CEA}"/>
  <bookViews>
    <workbookView xWindow="-108" yWindow="-108" windowWidth="23256" windowHeight="12456" firstSheet="11" activeTab="11" xr2:uid="{3FAEFE9E-DDAE-46DC-9B56-91076C3862C2}"/>
  </bookViews>
  <sheets>
    <sheet name="Mayo " sheetId="1" state="hidden" r:id="rId1"/>
    <sheet name="Junio" sheetId="2" state="hidden" r:id="rId2"/>
    <sheet name="Julio " sheetId="3" state="hidden" r:id="rId3"/>
    <sheet name="Agosto" sheetId="5" state="hidden" r:id="rId4"/>
    <sheet name="Septiembre " sheetId="6" state="hidden" r:id="rId5"/>
    <sheet name="Octubre " sheetId="7" state="hidden" r:id="rId6"/>
    <sheet name="Noviembre" sheetId="8" state="hidden" r:id="rId7"/>
    <sheet name="Diciembre " sheetId="9" state="hidden" r:id="rId8"/>
    <sheet name="ENERO 2026" sheetId="10" state="hidden" r:id="rId9"/>
    <sheet name="FEBRERO 2026" sheetId="11" state="hidden" r:id="rId10"/>
    <sheet name="MARZO 2026" sheetId="12" state="hidden" r:id="rId11"/>
    <sheet name="ABRIL 2026" sheetId="13" r:id="rId12"/>
  </sheets>
  <definedNames>
    <definedName name="_xlnm._FilterDatabase" localSheetId="8" hidden="1">'ENERO 2026'!$H$2:$H$110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3" l="1"/>
  <c r="U6" i="13"/>
  <c r="U14" i="13" s="1"/>
  <c r="U17" i="13" s="1"/>
  <c r="U7" i="13"/>
  <c r="S7" i="13"/>
  <c r="H7" i="13" s="1"/>
  <c r="G7" i="13" s="1"/>
  <c r="S6" i="13"/>
  <c r="H6" i="13" s="1"/>
  <c r="G6" i="13" s="1"/>
  <c r="V14" i="13"/>
  <c r="Q14" i="13"/>
  <c r="N14" i="13"/>
  <c r="N17" i="13" s="1"/>
  <c r="M14" i="13"/>
  <c r="K14" i="13"/>
  <c r="K17" i="13" s="1"/>
  <c r="J14" i="13"/>
  <c r="J17" i="13" s="1"/>
  <c r="I14" i="13"/>
  <c r="I17" i="13" s="1"/>
  <c r="E14" i="13"/>
  <c r="E17" i="13" s="1"/>
  <c r="D14" i="13"/>
  <c r="D17" i="13" s="1"/>
  <c r="C14" i="13"/>
  <c r="C17" i="13" s="1"/>
  <c r="R12" i="13"/>
  <c r="P12" i="13"/>
  <c r="L12" i="13"/>
  <c r="F12" i="13"/>
  <c r="R11" i="13"/>
  <c r="P11" i="13"/>
  <c r="L11" i="13"/>
  <c r="F11" i="13"/>
  <c r="R10" i="13"/>
  <c r="P10" i="13"/>
  <c r="L10" i="13"/>
  <c r="T10" i="13" s="1"/>
  <c r="S10" i="13" s="1"/>
  <c r="H10" i="13" s="1"/>
  <c r="G10" i="13" s="1"/>
  <c r="F10" i="13"/>
  <c r="R9" i="13"/>
  <c r="P9" i="13"/>
  <c r="L9" i="13"/>
  <c r="F9" i="13"/>
  <c r="R8" i="13"/>
  <c r="P8" i="13"/>
  <c r="L8" i="13"/>
  <c r="F8" i="13"/>
  <c r="W7" i="13"/>
  <c r="R7" i="13"/>
  <c r="P7" i="13"/>
  <c r="L7" i="13"/>
  <c r="F7" i="13"/>
  <c r="W6" i="13"/>
  <c r="R6" i="13"/>
  <c r="P6" i="13"/>
  <c r="L6" i="13"/>
  <c r="F6" i="13"/>
  <c r="W12" i="12"/>
  <c r="W11" i="12"/>
  <c r="W10" i="12"/>
  <c r="W9" i="12"/>
  <c r="W8" i="12"/>
  <c r="W7" i="12"/>
  <c r="U7" i="12"/>
  <c r="S7" i="12" s="1"/>
  <c r="W6" i="12"/>
  <c r="U6" i="12"/>
  <c r="V14" i="12"/>
  <c r="Q14" i="12"/>
  <c r="Q17" i="12" s="1"/>
  <c r="N14" i="12"/>
  <c r="N17" i="12" s="1"/>
  <c r="M14" i="12"/>
  <c r="M17" i="12" s="1"/>
  <c r="K14" i="12"/>
  <c r="K17" i="12" s="1"/>
  <c r="J14" i="12"/>
  <c r="J17" i="12" s="1"/>
  <c r="I14" i="12"/>
  <c r="I17" i="12" s="1"/>
  <c r="E14" i="12"/>
  <c r="E17" i="12" s="1"/>
  <c r="D14" i="12"/>
  <c r="D17" i="12" s="1"/>
  <c r="C14" i="12"/>
  <c r="C17" i="12" s="1"/>
  <c r="R12" i="12"/>
  <c r="P12" i="12"/>
  <c r="L12" i="12"/>
  <c r="T12" i="12" s="1"/>
  <c r="S12" i="12" s="1"/>
  <c r="F12" i="12"/>
  <c r="R11" i="12"/>
  <c r="P11" i="12"/>
  <c r="L11" i="12"/>
  <c r="T11" i="12" s="1"/>
  <c r="S11" i="12" s="1"/>
  <c r="F11" i="12"/>
  <c r="R10" i="12"/>
  <c r="P10" i="12"/>
  <c r="L10" i="12"/>
  <c r="T10" i="12" s="1"/>
  <c r="S10" i="12" s="1"/>
  <c r="F10" i="12"/>
  <c r="R9" i="12"/>
  <c r="P9" i="12"/>
  <c r="L9" i="12"/>
  <c r="T9" i="12" s="1"/>
  <c r="F9" i="12"/>
  <c r="R8" i="12"/>
  <c r="P8" i="12"/>
  <c r="L8" i="12"/>
  <c r="F8" i="12"/>
  <c r="R7" i="12"/>
  <c r="P7" i="12"/>
  <c r="L7" i="12"/>
  <c r="F7" i="12"/>
  <c r="F14" i="12" s="1"/>
  <c r="F17" i="12" s="1"/>
  <c r="R6" i="12"/>
  <c r="P6" i="12"/>
  <c r="L6" i="12"/>
  <c r="F6" i="12"/>
  <c r="L12" i="11"/>
  <c r="L11" i="11"/>
  <c r="L10" i="11"/>
  <c r="L9" i="11"/>
  <c r="L8" i="11"/>
  <c r="L7" i="11"/>
  <c r="L6" i="11"/>
  <c r="O7" i="13" l="1"/>
  <c r="O6" i="13"/>
  <c r="O10" i="13"/>
  <c r="F14" i="13"/>
  <c r="F17" i="13" s="1"/>
  <c r="Q17" i="13"/>
  <c r="R14" i="13"/>
  <c r="R17" i="13" s="1"/>
  <c r="M17" i="13"/>
  <c r="P14" i="13"/>
  <c r="P17" i="13" s="1"/>
  <c r="T12" i="13"/>
  <c r="S12" i="13" s="1"/>
  <c r="H12" i="13" s="1"/>
  <c r="L14" i="13"/>
  <c r="T11" i="13"/>
  <c r="S11" i="13" s="1"/>
  <c r="H11" i="13" s="1"/>
  <c r="T9" i="13"/>
  <c r="S9" i="13" s="1"/>
  <c r="H9" i="13" s="1"/>
  <c r="G9" i="13" s="1"/>
  <c r="O9" i="13"/>
  <c r="T8" i="13"/>
  <c r="S6" i="12"/>
  <c r="U14" i="12"/>
  <c r="U17" i="12" s="1"/>
  <c r="S9" i="12"/>
  <c r="T8" i="12"/>
  <c r="S8" i="12" s="1"/>
  <c r="H8" i="12" s="1"/>
  <c r="H12" i="12"/>
  <c r="G12" i="12" s="1"/>
  <c r="H9" i="12"/>
  <c r="G9" i="12" s="1"/>
  <c r="H6" i="12"/>
  <c r="G6" i="12" s="1"/>
  <c r="H10" i="12"/>
  <c r="G10" i="12" s="1"/>
  <c r="H7" i="12"/>
  <c r="G7" i="12" s="1"/>
  <c r="H11" i="12"/>
  <c r="G11" i="12" s="1"/>
  <c r="R14" i="12"/>
  <c r="R17" i="12" s="1"/>
  <c r="O12" i="12"/>
  <c r="L14" i="12"/>
  <c r="P14" i="12"/>
  <c r="P17" i="12" s="1"/>
  <c r="V14" i="11"/>
  <c r="Q14" i="11"/>
  <c r="Q17" i="11" s="1"/>
  <c r="N14" i="11"/>
  <c r="N17" i="11" s="1"/>
  <c r="M14" i="11"/>
  <c r="M17" i="11" s="1"/>
  <c r="K14" i="11"/>
  <c r="K17" i="11" s="1"/>
  <c r="J14" i="11"/>
  <c r="J17" i="11" s="1"/>
  <c r="I14" i="11"/>
  <c r="I17" i="11" s="1"/>
  <c r="E14" i="11"/>
  <c r="E17" i="11" s="1"/>
  <c r="D14" i="11"/>
  <c r="D17" i="11" s="1"/>
  <c r="C14" i="11"/>
  <c r="C17" i="11" s="1"/>
  <c r="R12" i="11"/>
  <c r="P12" i="11"/>
  <c r="S12" i="11"/>
  <c r="H12" i="11" s="1"/>
  <c r="G12" i="11" s="1"/>
  <c r="F12" i="11"/>
  <c r="R11" i="11"/>
  <c r="P11" i="11"/>
  <c r="F11" i="11"/>
  <c r="R10" i="11"/>
  <c r="P10" i="11"/>
  <c r="S10" i="11"/>
  <c r="H10" i="11" s="1"/>
  <c r="G10" i="11" s="1"/>
  <c r="F10" i="11"/>
  <c r="R9" i="11"/>
  <c r="P9" i="11"/>
  <c r="F9" i="11"/>
  <c r="R8" i="11"/>
  <c r="P8" i="11"/>
  <c r="F8" i="11"/>
  <c r="S7" i="11"/>
  <c r="H7" i="11" s="1"/>
  <c r="G7" i="11" s="1"/>
  <c r="R7" i="11"/>
  <c r="P7" i="11"/>
  <c r="F7" i="11"/>
  <c r="U14" i="11"/>
  <c r="U17" i="11" s="1"/>
  <c r="S6" i="11"/>
  <c r="H6" i="11" s="1"/>
  <c r="R6" i="11"/>
  <c r="P6" i="11"/>
  <c r="F6" i="11"/>
  <c r="L17" i="13" l="1"/>
  <c r="T14" i="13"/>
  <c r="T17" i="13" s="1"/>
  <c r="S8" i="13"/>
  <c r="G12" i="13"/>
  <c r="O12" i="13"/>
  <c r="O11" i="13"/>
  <c r="G11" i="13"/>
  <c r="O9" i="12"/>
  <c r="G8" i="12"/>
  <c r="G14" i="12" s="1"/>
  <c r="G17" i="12" s="1"/>
  <c r="O8" i="12"/>
  <c r="S14" i="12"/>
  <c r="S17" i="12" s="1"/>
  <c r="O7" i="12"/>
  <c r="T14" i="12"/>
  <c r="T17" i="12" s="1"/>
  <c r="H14" i="12"/>
  <c r="H17" i="12" s="1"/>
  <c r="O10" i="12"/>
  <c r="O6" i="12"/>
  <c r="O11" i="12"/>
  <c r="L17" i="12"/>
  <c r="F14" i="11"/>
  <c r="F17" i="11" s="1"/>
  <c r="O6" i="11"/>
  <c r="G6" i="11"/>
  <c r="R14" i="11"/>
  <c r="R17" i="11" s="1"/>
  <c r="S8" i="11"/>
  <c r="H8" i="11" s="1"/>
  <c r="G8" i="11" s="1"/>
  <c r="S11" i="11"/>
  <c r="H11" i="11" s="1"/>
  <c r="L14" i="11"/>
  <c r="P14" i="11"/>
  <c r="P17" i="11" s="1"/>
  <c r="O7" i="11"/>
  <c r="S9" i="11"/>
  <c r="H9" i="11" s="1"/>
  <c r="O10" i="11"/>
  <c r="O12" i="11"/>
  <c r="S14" i="13" l="1"/>
  <c r="S17" i="13" s="1"/>
  <c r="H8" i="13"/>
  <c r="O14" i="12"/>
  <c r="O17" i="12" s="1"/>
  <c r="O8" i="11"/>
  <c r="G9" i="11"/>
  <c r="H14" i="11"/>
  <c r="H17" i="11" s="1"/>
  <c r="O9" i="11"/>
  <c r="G11" i="11"/>
  <c r="O11" i="11"/>
  <c r="T14" i="11"/>
  <c r="T17" i="11" s="1"/>
  <c r="S14" i="11"/>
  <c r="S17" i="11" s="1"/>
  <c r="L17" i="11"/>
  <c r="O8" i="13" l="1"/>
  <c r="H14" i="13"/>
  <c r="G14" i="13"/>
  <c r="G17" i="13" s="1"/>
  <c r="O14" i="11"/>
  <c r="O17" i="11" s="1"/>
  <c r="G14" i="11"/>
  <c r="G17" i="11" s="1"/>
  <c r="O14" i="13" l="1"/>
  <c r="O17" i="13" s="1"/>
  <c r="H17" i="13"/>
  <c r="V14" i="10"/>
  <c r="Q14" i="10"/>
  <c r="R14" i="10" s="1"/>
  <c r="R17" i="10" s="1"/>
  <c r="N14" i="10"/>
  <c r="N17" i="10" s="1"/>
  <c r="M14" i="10"/>
  <c r="M17" i="10" s="1"/>
  <c r="K14" i="10"/>
  <c r="K17" i="10" s="1"/>
  <c r="J14" i="10"/>
  <c r="J17" i="10" s="1"/>
  <c r="I14" i="10"/>
  <c r="I17" i="10" s="1"/>
  <c r="E14" i="10"/>
  <c r="E17" i="10" s="1"/>
  <c r="D14" i="10"/>
  <c r="D17" i="10" s="1"/>
  <c r="C14" i="10"/>
  <c r="C17" i="10" s="1"/>
  <c r="W12" i="10"/>
  <c r="R12" i="10"/>
  <c r="P12" i="10"/>
  <c r="L12" i="10"/>
  <c r="F12" i="10"/>
  <c r="W11" i="10"/>
  <c r="T11" i="10"/>
  <c r="S11" i="10" s="1"/>
  <c r="H11" i="10" s="1"/>
  <c r="R11" i="10"/>
  <c r="P11" i="10"/>
  <c r="L11" i="10"/>
  <c r="F11" i="10"/>
  <c r="W10" i="10"/>
  <c r="R10" i="10"/>
  <c r="P10" i="10"/>
  <c r="L10" i="10"/>
  <c r="F10" i="10"/>
  <c r="W9" i="10"/>
  <c r="T9" i="10"/>
  <c r="S9" i="10" s="1"/>
  <c r="H9" i="10" s="1"/>
  <c r="R9" i="10"/>
  <c r="P9" i="10"/>
  <c r="L9" i="10"/>
  <c r="F9" i="10"/>
  <c r="W8" i="10"/>
  <c r="R8" i="10"/>
  <c r="P8" i="10"/>
  <c r="L8" i="10"/>
  <c r="F8" i="10"/>
  <c r="W7" i="10"/>
  <c r="U7" i="10"/>
  <c r="S7" i="10" s="1"/>
  <c r="H7" i="10" s="1"/>
  <c r="R7" i="10"/>
  <c r="P7" i="10"/>
  <c r="L7" i="10"/>
  <c r="F7" i="10"/>
  <c r="W6" i="10"/>
  <c r="U6" i="10"/>
  <c r="U14" i="10" s="1"/>
  <c r="U17" i="10" s="1"/>
  <c r="S6" i="10"/>
  <c r="R6" i="10"/>
  <c r="P6" i="10"/>
  <c r="L6" i="10"/>
  <c r="H6" i="10" s="1"/>
  <c r="F6" i="10"/>
  <c r="U6" i="9"/>
  <c r="U7" i="9"/>
  <c r="T12" i="9"/>
  <c r="S12" i="9" s="1"/>
  <c r="T8" i="9"/>
  <c r="S8" i="9" s="1"/>
  <c r="S7" i="9"/>
  <c r="V14" i="9"/>
  <c r="Q14" i="9"/>
  <c r="Q17" i="9" s="1"/>
  <c r="N14" i="9"/>
  <c r="N17" i="9" s="1"/>
  <c r="M14" i="9"/>
  <c r="M17" i="9" s="1"/>
  <c r="K14" i="9"/>
  <c r="K17" i="9" s="1"/>
  <c r="J14" i="9"/>
  <c r="J17" i="9" s="1"/>
  <c r="I14" i="9"/>
  <c r="I17" i="9" s="1"/>
  <c r="E14" i="9"/>
  <c r="E17" i="9" s="1"/>
  <c r="D14" i="9"/>
  <c r="D17" i="9" s="1"/>
  <c r="C14" i="9"/>
  <c r="C17" i="9" s="1"/>
  <c r="W12" i="9"/>
  <c r="R12" i="9"/>
  <c r="P12" i="9"/>
  <c r="L12" i="9"/>
  <c r="F12" i="9"/>
  <c r="W11" i="9"/>
  <c r="R11" i="9"/>
  <c r="P11" i="9"/>
  <c r="L11" i="9"/>
  <c r="T11" i="9" s="1"/>
  <c r="S11" i="9" s="1"/>
  <c r="F11" i="9"/>
  <c r="W10" i="9"/>
  <c r="R10" i="9"/>
  <c r="P10" i="9"/>
  <c r="L10" i="9"/>
  <c r="T10" i="9" s="1"/>
  <c r="S10" i="9" s="1"/>
  <c r="F10" i="9"/>
  <c r="W9" i="9"/>
  <c r="R9" i="9"/>
  <c r="P9" i="9"/>
  <c r="L9" i="9"/>
  <c r="T9" i="9" s="1"/>
  <c r="S9" i="9" s="1"/>
  <c r="F9" i="9"/>
  <c r="W8" i="9"/>
  <c r="R8" i="9"/>
  <c r="P8" i="9"/>
  <c r="L8" i="9"/>
  <c r="F8" i="9"/>
  <c r="W7" i="9"/>
  <c r="R7" i="9"/>
  <c r="P7" i="9"/>
  <c r="L7" i="9"/>
  <c r="F7" i="9"/>
  <c r="W6" i="9"/>
  <c r="U14" i="9"/>
  <c r="U17" i="9" s="1"/>
  <c r="R6" i="9"/>
  <c r="P6" i="9"/>
  <c r="L6" i="9"/>
  <c r="F6" i="9"/>
  <c r="V14" i="8"/>
  <c r="Q14" i="8"/>
  <c r="R14" i="8" s="1"/>
  <c r="R17" i="8" s="1"/>
  <c r="P14" i="8"/>
  <c r="P17" i="8" s="1"/>
  <c r="N14" i="8"/>
  <c r="N17" i="8" s="1"/>
  <c r="M14" i="8"/>
  <c r="M17" i="8" s="1"/>
  <c r="K14" i="8"/>
  <c r="K17" i="8" s="1"/>
  <c r="J14" i="8"/>
  <c r="J17" i="8" s="1"/>
  <c r="I14" i="8"/>
  <c r="I17" i="8" s="1"/>
  <c r="E14" i="8"/>
  <c r="E17" i="8" s="1"/>
  <c r="D14" i="8"/>
  <c r="D17" i="8" s="1"/>
  <c r="C14" i="8"/>
  <c r="C17" i="8" s="1"/>
  <c r="W12" i="8"/>
  <c r="R12" i="8"/>
  <c r="P12" i="8"/>
  <c r="L12" i="8"/>
  <c r="F12" i="8"/>
  <c r="W11" i="8"/>
  <c r="R11" i="8"/>
  <c r="P11" i="8"/>
  <c r="L11" i="8"/>
  <c r="T11" i="8" s="1"/>
  <c r="S11" i="8" s="1"/>
  <c r="H11" i="8" s="1"/>
  <c r="G11" i="8" s="1"/>
  <c r="F11" i="8"/>
  <c r="W10" i="8"/>
  <c r="R10" i="8"/>
  <c r="P10" i="8"/>
  <c r="L10" i="8"/>
  <c r="F10" i="8"/>
  <c r="W9" i="8"/>
  <c r="R9" i="8"/>
  <c r="P9" i="8"/>
  <c r="L9" i="8"/>
  <c r="T9" i="8" s="1"/>
  <c r="S9" i="8" s="1"/>
  <c r="H9" i="8" s="1"/>
  <c r="G9" i="8" s="1"/>
  <c r="F9" i="8"/>
  <c r="W8" i="8"/>
  <c r="R8" i="8"/>
  <c r="P8" i="8"/>
  <c r="L8" i="8"/>
  <c r="F8" i="8"/>
  <c r="W7" i="8"/>
  <c r="U7" i="8"/>
  <c r="S7" i="8"/>
  <c r="R7" i="8"/>
  <c r="P7" i="8"/>
  <c r="L7" i="8"/>
  <c r="O7" i="8" s="1"/>
  <c r="H7" i="8"/>
  <c r="G7" i="8"/>
  <c r="F7" i="8"/>
  <c r="W6" i="8"/>
  <c r="U6" i="8"/>
  <c r="U14" i="8" s="1"/>
  <c r="U17" i="8" s="1"/>
  <c r="S6" i="8"/>
  <c r="R6" i="8"/>
  <c r="P6" i="8"/>
  <c r="L6" i="8"/>
  <c r="H6" i="8" s="1"/>
  <c r="F6" i="8"/>
  <c r="F14" i="8" s="1"/>
  <c r="F17" i="8" s="1"/>
  <c r="G19" i="7"/>
  <c r="D19" i="7"/>
  <c r="E19" i="7"/>
  <c r="F19" i="7"/>
  <c r="F19" i="6"/>
  <c r="E19" i="6"/>
  <c r="G14" i="7"/>
  <c r="H14" i="7"/>
  <c r="U8" i="7"/>
  <c r="U16" i="7" s="1"/>
  <c r="U19" i="7" s="1"/>
  <c r="L14" i="7"/>
  <c r="L13" i="7"/>
  <c r="L12" i="7"/>
  <c r="L11" i="7"/>
  <c r="T11" i="7" s="1"/>
  <c r="S11" i="7" s="1"/>
  <c r="H11" i="7" s="1"/>
  <c r="L10" i="7"/>
  <c r="L9" i="7"/>
  <c r="L8" i="7"/>
  <c r="F13" i="6"/>
  <c r="F13" i="7"/>
  <c r="V16" i="7"/>
  <c r="Q16" i="7"/>
  <c r="Q19" i="7" s="1"/>
  <c r="N16" i="7"/>
  <c r="N19" i="7" s="1"/>
  <c r="M16" i="7"/>
  <c r="M19" i="7" s="1"/>
  <c r="K16" i="7"/>
  <c r="K19" i="7" s="1"/>
  <c r="J16" i="7"/>
  <c r="I16" i="7"/>
  <c r="I19" i="7" s="1"/>
  <c r="E16" i="7"/>
  <c r="D16" i="7"/>
  <c r="C16" i="7"/>
  <c r="C19" i="7" s="1"/>
  <c r="W14" i="7"/>
  <c r="R14" i="7"/>
  <c r="P14" i="7"/>
  <c r="T14" i="7"/>
  <c r="S14" i="7" s="1"/>
  <c r="F14" i="7"/>
  <c r="W13" i="7"/>
  <c r="R13" i="7"/>
  <c r="P13" i="7"/>
  <c r="T13" i="7"/>
  <c r="S13" i="7" s="1"/>
  <c r="H13" i="7" s="1"/>
  <c r="W12" i="7"/>
  <c r="T12" i="7"/>
  <c r="S12" i="7" s="1"/>
  <c r="H12" i="7" s="1"/>
  <c r="R12" i="7"/>
  <c r="P12" i="7"/>
  <c r="F12" i="7"/>
  <c r="W11" i="7"/>
  <c r="R11" i="7"/>
  <c r="P11" i="7"/>
  <c r="F11" i="7"/>
  <c r="W10" i="7"/>
  <c r="T10" i="7"/>
  <c r="S10" i="7" s="1"/>
  <c r="R10" i="7"/>
  <c r="P10" i="7"/>
  <c r="F10" i="7"/>
  <c r="W9" i="7"/>
  <c r="R9" i="7"/>
  <c r="P9" i="7"/>
  <c r="T9" i="7"/>
  <c r="F9" i="7"/>
  <c r="W8" i="7"/>
  <c r="R8" i="7"/>
  <c r="P8" i="7"/>
  <c r="F8" i="7"/>
  <c r="F16" i="7" s="1"/>
  <c r="F12" i="6"/>
  <c r="F11" i="6"/>
  <c r="F10" i="6"/>
  <c r="F9" i="6"/>
  <c r="F8" i="6"/>
  <c r="F14" i="6"/>
  <c r="P14" i="10" l="1"/>
  <c r="P17" i="10" s="1"/>
  <c r="F14" i="10"/>
  <c r="F17" i="10" s="1"/>
  <c r="G6" i="10"/>
  <c r="O7" i="10"/>
  <c r="G7" i="10"/>
  <c r="O11" i="10"/>
  <c r="G11" i="10"/>
  <c r="O9" i="10"/>
  <c r="G9" i="10"/>
  <c r="L14" i="10"/>
  <c r="T8" i="10"/>
  <c r="T10" i="10"/>
  <c r="S10" i="10" s="1"/>
  <c r="H10" i="10" s="1"/>
  <c r="T12" i="10"/>
  <c r="S12" i="10" s="1"/>
  <c r="H12" i="10" s="1"/>
  <c r="Q17" i="10"/>
  <c r="O6" i="10"/>
  <c r="S6" i="9"/>
  <c r="H6" i="9" s="1"/>
  <c r="G6" i="9" s="1"/>
  <c r="P14" i="9"/>
  <c r="P17" i="9" s="1"/>
  <c r="F14" i="9"/>
  <c r="F17" i="9" s="1"/>
  <c r="H7" i="9"/>
  <c r="G7" i="9" s="1"/>
  <c r="H12" i="9"/>
  <c r="G12" i="9" s="1"/>
  <c r="H10" i="9"/>
  <c r="G10" i="9" s="1"/>
  <c r="R14" i="9"/>
  <c r="R17" i="9" s="1"/>
  <c r="O6" i="9"/>
  <c r="H8" i="9"/>
  <c r="G8" i="9" s="1"/>
  <c r="H9" i="9"/>
  <c r="H11" i="9"/>
  <c r="L14" i="9"/>
  <c r="O10" i="9"/>
  <c r="G6" i="8"/>
  <c r="Q17" i="8"/>
  <c r="L14" i="8"/>
  <c r="O6" i="8"/>
  <c r="T8" i="8"/>
  <c r="T10" i="8"/>
  <c r="S10" i="8" s="1"/>
  <c r="H10" i="8" s="1"/>
  <c r="T12" i="8"/>
  <c r="S12" i="8" s="1"/>
  <c r="H12" i="8" s="1"/>
  <c r="O9" i="8"/>
  <c r="O11" i="8"/>
  <c r="R16" i="7"/>
  <c r="R19" i="7" s="1"/>
  <c r="L16" i="7"/>
  <c r="J19" i="7"/>
  <c r="H10" i="7"/>
  <c r="O10" i="7" s="1"/>
  <c r="L19" i="7"/>
  <c r="G13" i="7"/>
  <c r="O13" i="7"/>
  <c r="G11" i="7"/>
  <c r="O11" i="7"/>
  <c r="T16" i="7"/>
  <c r="T19" i="7" s="1"/>
  <c r="S9" i="7"/>
  <c r="H9" i="7" s="1"/>
  <c r="O12" i="7"/>
  <c r="G12" i="7"/>
  <c r="P16" i="7"/>
  <c r="P19" i="7" s="1"/>
  <c r="S8" i="7"/>
  <c r="S16" i="7" s="1"/>
  <c r="S19" i="7" s="1"/>
  <c r="O14" i="7"/>
  <c r="V16" i="6"/>
  <c r="Q16" i="6"/>
  <c r="Q19" i="6" s="1"/>
  <c r="N16" i="6"/>
  <c r="N19" i="6" s="1"/>
  <c r="M16" i="6"/>
  <c r="M19" i="6" s="1"/>
  <c r="K16" i="6"/>
  <c r="K19" i="6" s="1"/>
  <c r="J16" i="6"/>
  <c r="J19" i="6" s="1"/>
  <c r="I16" i="6"/>
  <c r="I19" i="6" s="1"/>
  <c r="E16" i="6"/>
  <c r="D16" i="6"/>
  <c r="D19" i="6" s="1"/>
  <c r="C16" i="6"/>
  <c r="C19" i="6" s="1"/>
  <c r="W14" i="6"/>
  <c r="R14" i="6"/>
  <c r="P14" i="6"/>
  <c r="L14" i="6"/>
  <c r="T14" i="6" s="1"/>
  <c r="S14" i="6" s="1"/>
  <c r="G14" i="6"/>
  <c r="W13" i="6"/>
  <c r="R13" i="6"/>
  <c r="P13" i="6"/>
  <c r="L13" i="6"/>
  <c r="T13" i="6" s="1"/>
  <c r="S13" i="6" s="1"/>
  <c r="H13" i="6" s="1"/>
  <c r="W12" i="6"/>
  <c r="R12" i="6"/>
  <c r="P12" i="6"/>
  <c r="L12" i="6"/>
  <c r="T12" i="6" s="1"/>
  <c r="S12" i="6" s="1"/>
  <c r="W11" i="6"/>
  <c r="R11" i="6"/>
  <c r="P11" i="6"/>
  <c r="L11" i="6"/>
  <c r="T11" i="6" s="1"/>
  <c r="S11" i="6" s="1"/>
  <c r="H11" i="6" s="1"/>
  <c r="W10" i="6"/>
  <c r="R10" i="6"/>
  <c r="P10" i="6"/>
  <c r="L10" i="6"/>
  <c r="T10" i="6" s="1"/>
  <c r="S10" i="6" s="1"/>
  <c r="W9" i="6"/>
  <c r="R9" i="6"/>
  <c r="P9" i="6"/>
  <c r="L9" i="6"/>
  <c r="T9" i="6" s="1"/>
  <c r="W8" i="6"/>
  <c r="U16" i="6"/>
  <c r="U19" i="6" s="1"/>
  <c r="R8" i="6"/>
  <c r="P8" i="6"/>
  <c r="L8" i="6"/>
  <c r="L8" i="5"/>
  <c r="K16" i="5"/>
  <c r="K19" i="5" s="1"/>
  <c r="R8" i="5"/>
  <c r="V16" i="5"/>
  <c r="Q16" i="5"/>
  <c r="Q19" i="5" s="1"/>
  <c r="N16" i="5"/>
  <c r="N19" i="5" s="1"/>
  <c r="M16" i="5"/>
  <c r="M19" i="5" s="1"/>
  <c r="J16" i="5"/>
  <c r="J19" i="5" s="1"/>
  <c r="I16" i="5"/>
  <c r="I19" i="5" s="1"/>
  <c r="E16" i="5"/>
  <c r="E19" i="5" s="1"/>
  <c r="C16" i="5"/>
  <c r="C19" i="5" s="1"/>
  <c r="W14" i="5"/>
  <c r="T14" i="5"/>
  <c r="S14" i="5" s="1"/>
  <c r="H14" i="5" s="1"/>
  <c r="R14" i="5"/>
  <c r="P14" i="5"/>
  <c r="W13" i="5"/>
  <c r="R13" i="5"/>
  <c r="P13" i="5"/>
  <c r="L13" i="5"/>
  <c r="T13" i="5" s="1"/>
  <c r="S13" i="5" s="1"/>
  <c r="H13" i="5" s="1"/>
  <c r="G13" i="5" s="1"/>
  <c r="W12" i="5"/>
  <c r="R12" i="5"/>
  <c r="P12" i="5"/>
  <c r="L12" i="5"/>
  <c r="T12" i="5" s="1"/>
  <c r="S12" i="5" s="1"/>
  <c r="W11" i="5"/>
  <c r="R11" i="5"/>
  <c r="P11" i="5"/>
  <c r="L11" i="5"/>
  <c r="T11" i="5" s="1"/>
  <c r="S11" i="5" s="1"/>
  <c r="H11" i="5" s="1"/>
  <c r="G11" i="5" s="1"/>
  <c r="D16" i="5"/>
  <c r="D19" i="5" s="1"/>
  <c r="W10" i="5"/>
  <c r="T10" i="5"/>
  <c r="S10" i="5" s="1"/>
  <c r="H10" i="5" s="1"/>
  <c r="R10" i="5"/>
  <c r="P10" i="5"/>
  <c r="L10" i="5"/>
  <c r="W9" i="5"/>
  <c r="R9" i="5"/>
  <c r="P9" i="5"/>
  <c r="L9" i="5"/>
  <c r="F9" i="5"/>
  <c r="W8" i="5"/>
  <c r="U8" i="5"/>
  <c r="U16" i="5" s="1"/>
  <c r="U19" i="5" s="1"/>
  <c r="P8" i="5"/>
  <c r="F8" i="5"/>
  <c r="G10" i="10" l="1"/>
  <c r="O10" i="10"/>
  <c r="G12" i="10"/>
  <c r="O12" i="10"/>
  <c r="S8" i="10"/>
  <c r="T14" i="10"/>
  <c r="T17" i="10" s="1"/>
  <c r="L17" i="10"/>
  <c r="O12" i="9"/>
  <c r="O7" i="9"/>
  <c r="G9" i="9"/>
  <c r="O9" i="9"/>
  <c r="G11" i="9"/>
  <c r="O11" i="9"/>
  <c r="O8" i="9"/>
  <c r="T14" i="9"/>
  <c r="T17" i="9" s="1"/>
  <c r="L17" i="9"/>
  <c r="S14" i="9"/>
  <c r="S17" i="9" s="1"/>
  <c r="H14" i="9"/>
  <c r="H17" i="9" s="1"/>
  <c r="G12" i="8"/>
  <c r="O12" i="8"/>
  <c r="G10" i="8"/>
  <c r="O10" i="8"/>
  <c r="L17" i="8"/>
  <c r="T14" i="8"/>
  <c r="T17" i="8" s="1"/>
  <c r="S8" i="8"/>
  <c r="R16" i="6"/>
  <c r="R19" i="6" s="1"/>
  <c r="G10" i="7"/>
  <c r="H8" i="7"/>
  <c r="G9" i="7"/>
  <c r="O9" i="7"/>
  <c r="L16" i="6"/>
  <c r="L19" i="6" s="1"/>
  <c r="F16" i="6"/>
  <c r="G11" i="6"/>
  <c r="O11" i="6"/>
  <c r="H12" i="6"/>
  <c r="H10" i="6"/>
  <c r="T16" i="6"/>
  <c r="T19" i="6" s="1"/>
  <c r="G13" i="6"/>
  <c r="O13" i="6"/>
  <c r="S9" i="6"/>
  <c r="H9" i="6" s="1"/>
  <c r="P16" i="6"/>
  <c r="P19" i="6" s="1"/>
  <c r="S8" i="6"/>
  <c r="O14" i="6"/>
  <c r="R16" i="5"/>
  <c r="R19" i="5" s="1"/>
  <c r="O14" i="5"/>
  <c r="G14" i="5"/>
  <c r="O10" i="5"/>
  <c r="G10" i="5"/>
  <c r="H12" i="5"/>
  <c r="T9" i="5"/>
  <c r="S8" i="5"/>
  <c r="F16" i="5"/>
  <c r="F19" i="5" s="1"/>
  <c r="O11" i="5"/>
  <c r="O13" i="5"/>
  <c r="L16" i="5"/>
  <c r="P16" i="5"/>
  <c r="P19" i="5" s="1"/>
  <c r="S14" i="10" l="1"/>
  <c r="S17" i="10" s="1"/>
  <c r="H8" i="10"/>
  <c r="O14" i="9"/>
  <c r="O17" i="9" s="1"/>
  <c r="G14" i="9"/>
  <c r="G17" i="9" s="1"/>
  <c r="S14" i="8"/>
  <c r="S17" i="8" s="1"/>
  <c r="H8" i="8"/>
  <c r="H16" i="7"/>
  <c r="G8" i="7"/>
  <c r="G16" i="7" s="1"/>
  <c r="O8" i="7"/>
  <c r="H8" i="6"/>
  <c r="S16" i="6"/>
  <c r="S19" i="6" s="1"/>
  <c r="O12" i="6"/>
  <c r="G12" i="6"/>
  <c r="G9" i="6"/>
  <c r="O9" i="6"/>
  <c r="O10" i="6"/>
  <c r="G10" i="6"/>
  <c r="G12" i="5"/>
  <c r="O12" i="5"/>
  <c r="S9" i="5"/>
  <c r="H9" i="5" s="1"/>
  <c r="T16" i="5"/>
  <c r="T19" i="5" s="1"/>
  <c r="L19" i="5"/>
  <c r="H8" i="5"/>
  <c r="G8" i="10" l="1"/>
  <c r="G14" i="10" s="1"/>
  <c r="G17" i="10" s="1"/>
  <c r="H14" i="10"/>
  <c r="O8" i="10"/>
  <c r="G8" i="8"/>
  <c r="G14" i="8" s="1"/>
  <c r="G17" i="8" s="1"/>
  <c r="H14" i="8"/>
  <c r="O8" i="8"/>
  <c r="H19" i="7"/>
  <c r="O16" i="7"/>
  <c r="O19" i="7" s="1"/>
  <c r="O8" i="6"/>
  <c r="H16" i="6"/>
  <c r="G8" i="6"/>
  <c r="S16" i="5"/>
  <c r="S19" i="5" s="1"/>
  <c r="O8" i="5"/>
  <c r="H16" i="5"/>
  <c r="G8" i="5"/>
  <c r="G9" i="5"/>
  <c r="O9" i="5"/>
  <c r="H17" i="10" l="1"/>
  <c r="O14" i="10"/>
  <c r="O17" i="10" s="1"/>
  <c r="H17" i="8"/>
  <c r="O14" i="8"/>
  <c r="O17" i="8" s="1"/>
  <c r="G16" i="6"/>
  <c r="G19" i="6" s="1"/>
  <c r="H19" i="6"/>
  <c r="O16" i="6"/>
  <c r="O19" i="6" s="1"/>
  <c r="G16" i="5"/>
  <c r="G19" i="5" s="1"/>
  <c r="H19" i="5"/>
  <c r="O16" i="5"/>
  <c r="O19" i="5" s="1"/>
  <c r="V16" i="3" l="1"/>
  <c r="Q16" i="3"/>
  <c r="Q19" i="3" s="1"/>
  <c r="P16" i="3"/>
  <c r="P19" i="3" s="1"/>
  <c r="N16" i="3"/>
  <c r="N19" i="3" s="1"/>
  <c r="M16" i="3"/>
  <c r="M19" i="3" s="1"/>
  <c r="K16" i="3"/>
  <c r="K19" i="3" s="1"/>
  <c r="J16" i="3"/>
  <c r="J19" i="3" s="1"/>
  <c r="I16" i="3"/>
  <c r="I19" i="3" s="1"/>
  <c r="E16" i="3"/>
  <c r="E19" i="3" s="1"/>
  <c r="C16" i="3"/>
  <c r="C19" i="3" s="1"/>
  <c r="W14" i="3"/>
  <c r="T14" i="3"/>
  <c r="S14" i="3"/>
  <c r="R14" i="3"/>
  <c r="P14" i="3"/>
  <c r="H14" i="3"/>
  <c r="O14" i="3" s="1"/>
  <c r="G14" i="3"/>
  <c r="F14" i="3"/>
  <c r="W13" i="3"/>
  <c r="R13" i="3"/>
  <c r="P13" i="3"/>
  <c r="L13" i="3"/>
  <c r="T13" i="3" s="1"/>
  <c r="S13" i="3" s="1"/>
  <c r="H13" i="3" s="1"/>
  <c r="G13" i="3" s="1"/>
  <c r="F13" i="3"/>
  <c r="W12" i="3"/>
  <c r="T12" i="3"/>
  <c r="S12" i="3" s="1"/>
  <c r="H12" i="3" s="1"/>
  <c r="R12" i="3"/>
  <c r="P12" i="3"/>
  <c r="L12" i="3"/>
  <c r="F12" i="3"/>
  <c r="W11" i="3"/>
  <c r="R11" i="3"/>
  <c r="P11" i="3"/>
  <c r="L11" i="3"/>
  <c r="T11" i="3" s="1"/>
  <c r="S11" i="3" s="1"/>
  <c r="H11" i="3" s="1"/>
  <c r="G11" i="3" s="1"/>
  <c r="D11" i="3"/>
  <c r="D16" i="3" s="1"/>
  <c r="D19" i="3" s="1"/>
  <c r="W10" i="3"/>
  <c r="R10" i="3"/>
  <c r="P10" i="3"/>
  <c r="L10" i="3"/>
  <c r="T10" i="3" s="1"/>
  <c r="S10" i="3" s="1"/>
  <c r="H10" i="3" s="1"/>
  <c r="G10" i="3" s="1"/>
  <c r="F10" i="3"/>
  <c r="W9" i="3"/>
  <c r="R9" i="3"/>
  <c r="P9" i="3"/>
  <c r="L9" i="3"/>
  <c r="F9" i="3"/>
  <c r="W8" i="3"/>
  <c r="U8" i="3"/>
  <c r="U16" i="3" s="1"/>
  <c r="U19" i="3" s="1"/>
  <c r="S8" i="3"/>
  <c r="R8" i="3"/>
  <c r="P8" i="3"/>
  <c r="H8" i="3"/>
  <c r="O8" i="3" s="1"/>
  <c r="G8" i="3"/>
  <c r="F8" i="3"/>
  <c r="G9" i="2"/>
  <c r="R16" i="3" l="1"/>
  <c r="R19" i="3" s="1"/>
  <c r="G12" i="3"/>
  <c r="O12" i="3"/>
  <c r="T9" i="3"/>
  <c r="F11" i="3"/>
  <c r="F16" i="3" s="1"/>
  <c r="F19" i="3" s="1"/>
  <c r="O11" i="3"/>
  <c r="O13" i="3"/>
  <c r="L16" i="3"/>
  <c r="O10" i="3"/>
  <c r="U8" i="2"/>
  <c r="P8" i="2"/>
  <c r="T16" i="3" l="1"/>
  <c r="T19" i="3" s="1"/>
  <c r="S9" i="3"/>
  <c r="L19" i="3"/>
  <c r="V16" i="2"/>
  <c r="Q16" i="2"/>
  <c r="Q19" i="2" s="1"/>
  <c r="N16" i="2"/>
  <c r="N19" i="2" s="1"/>
  <c r="M16" i="2"/>
  <c r="M19" i="2" s="1"/>
  <c r="K16" i="2"/>
  <c r="K19" i="2" s="1"/>
  <c r="J16" i="2"/>
  <c r="J19" i="2" s="1"/>
  <c r="I16" i="2"/>
  <c r="I19" i="2" s="1"/>
  <c r="E16" i="2"/>
  <c r="E19" i="2" s="1"/>
  <c r="D16" i="2"/>
  <c r="D19" i="2" s="1"/>
  <c r="C16" i="2"/>
  <c r="C19" i="2" s="1"/>
  <c r="W14" i="2"/>
  <c r="T14" i="2"/>
  <c r="S14" i="2" s="1"/>
  <c r="H14" i="2" s="1"/>
  <c r="R14" i="2"/>
  <c r="P14" i="2"/>
  <c r="F14" i="2"/>
  <c r="W13" i="2"/>
  <c r="R13" i="2"/>
  <c r="P13" i="2"/>
  <c r="L13" i="2"/>
  <c r="T13" i="2" s="1"/>
  <c r="S13" i="2" s="1"/>
  <c r="H13" i="2" s="1"/>
  <c r="G13" i="2" s="1"/>
  <c r="F13" i="2"/>
  <c r="W12" i="2"/>
  <c r="T12" i="2"/>
  <c r="S12" i="2" s="1"/>
  <c r="R12" i="2"/>
  <c r="P12" i="2"/>
  <c r="L12" i="2"/>
  <c r="F12" i="2"/>
  <c r="W11" i="2"/>
  <c r="R11" i="2"/>
  <c r="P11" i="2"/>
  <c r="L11" i="2"/>
  <c r="T11" i="2" s="1"/>
  <c r="S11" i="2" s="1"/>
  <c r="H11" i="2" s="1"/>
  <c r="G11" i="2" s="1"/>
  <c r="F11" i="2"/>
  <c r="W10" i="2"/>
  <c r="R10" i="2"/>
  <c r="P10" i="2"/>
  <c r="L10" i="2"/>
  <c r="F10" i="2"/>
  <c r="W9" i="2"/>
  <c r="R9" i="2"/>
  <c r="P9" i="2"/>
  <c r="L9" i="2"/>
  <c r="T9" i="2" s="1"/>
  <c r="F9" i="2"/>
  <c r="W8" i="2"/>
  <c r="U16" i="2"/>
  <c r="U19" i="2" s="1"/>
  <c r="S8" i="2"/>
  <c r="R8" i="2"/>
  <c r="L8" i="2"/>
  <c r="F8" i="2"/>
  <c r="F16" i="2" s="1"/>
  <c r="F19" i="2" s="1"/>
  <c r="U8" i="1"/>
  <c r="T11" i="1"/>
  <c r="P8" i="1"/>
  <c r="O14" i="1"/>
  <c r="S16" i="3" l="1"/>
  <c r="S19" i="3" s="1"/>
  <c r="H9" i="3"/>
  <c r="T10" i="2"/>
  <c r="S10" i="2" s="1"/>
  <c r="H10" i="2" s="1"/>
  <c r="H8" i="2"/>
  <c r="O8" i="2" s="1"/>
  <c r="O14" i="2"/>
  <c r="G14" i="2"/>
  <c r="T16" i="2"/>
  <c r="T19" i="2" s="1"/>
  <c r="S9" i="2"/>
  <c r="H9" i="2" s="1"/>
  <c r="O9" i="2" s="1"/>
  <c r="H12" i="2"/>
  <c r="R16" i="2"/>
  <c r="R19" i="2" s="1"/>
  <c r="O11" i="2"/>
  <c r="O13" i="2"/>
  <c r="L16" i="2"/>
  <c r="P16" i="2"/>
  <c r="P19" i="2" s="1"/>
  <c r="V16" i="1"/>
  <c r="U16" i="1"/>
  <c r="U19" i="1" s="1"/>
  <c r="R16" i="1"/>
  <c r="R19" i="1" s="1"/>
  <c r="Q16" i="1"/>
  <c r="Q19" i="1" s="1"/>
  <c r="N16" i="1"/>
  <c r="N19" i="1" s="1"/>
  <c r="M16" i="1"/>
  <c r="M19" i="1" s="1"/>
  <c r="K16" i="1"/>
  <c r="K19" i="1" s="1"/>
  <c r="J16" i="1"/>
  <c r="J19" i="1" s="1"/>
  <c r="I16" i="1"/>
  <c r="I19" i="1" s="1"/>
  <c r="E16" i="1"/>
  <c r="E19" i="1" s="1"/>
  <c r="D16" i="1"/>
  <c r="D19" i="1" s="1"/>
  <c r="C16" i="1"/>
  <c r="C19" i="1" s="1"/>
  <c r="W14" i="1"/>
  <c r="R14" i="1"/>
  <c r="P14" i="1"/>
  <c r="L14" i="1"/>
  <c r="T14" i="1" s="1"/>
  <c r="S14" i="1" s="1"/>
  <c r="H14" i="1" s="1"/>
  <c r="G14" i="1" s="1"/>
  <c r="F14" i="1"/>
  <c r="W13" i="1"/>
  <c r="R13" i="1"/>
  <c r="P13" i="1"/>
  <c r="L13" i="1"/>
  <c r="F13" i="1"/>
  <c r="W12" i="1"/>
  <c r="R12" i="1"/>
  <c r="P12" i="1"/>
  <c r="L12" i="1"/>
  <c r="T12" i="1" s="1"/>
  <c r="S12" i="1" s="1"/>
  <c r="H12" i="1" s="1"/>
  <c r="G12" i="1" s="1"/>
  <c r="F12" i="1"/>
  <c r="W11" i="1"/>
  <c r="R11" i="1"/>
  <c r="P11" i="1"/>
  <c r="L11" i="1"/>
  <c r="F11" i="1"/>
  <c r="W10" i="1"/>
  <c r="R10" i="1"/>
  <c r="P10" i="1"/>
  <c r="L10" i="1"/>
  <c r="T10" i="1" s="1"/>
  <c r="S10" i="1" s="1"/>
  <c r="H10" i="1" s="1"/>
  <c r="G10" i="1" s="1"/>
  <c r="F10" i="1"/>
  <c r="W9" i="1"/>
  <c r="R9" i="1"/>
  <c r="P9" i="1"/>
  <c r="L9" i="1"/>
  <c r="F9" i="1"/>
  <c r="W8" i="1"/>
  <c r="R8" i="1"/>
  <c r="L8" i="1"/>
  <c r="F8" i="1"/>
  <c r="F16" i="1" s="1"/>
  <c r="F19" i="1" s="1"/>
  <c r="G9" i="3" l="1"/>
  <c r="G16" i="3" s="1"/>
  <c r="G19" i="3" s="1"/>
  <c r="O9" i="3"/>
  <c r="H16" i="3"/>
  <c r="G10" i="2"/>
  <c r="O10" i="2"/>
  <c r="H16" i="2"/>
  <c r="H19" i="2" s="1"/>
  <c r="G8" i="2"/>
  <c r="S16" i="2"/>
  <c r="S19" i="2" s="1"/>
  <c r="L19" i="2"/>
  <c r="O16" i="2"/>
  <c r="O19" i="2" s="1"/>
  <c r="O12" i="2"/>
  <c r="G12" i="2"/>
  <c r="S8" i="1"/>
  <c r="H13" i="1"/>
  <c r="G13" i="1" s="1"/>
  <c r="L16" i="1"/>
  <c r="P16" i="1"/>
  <c r="P19" i="1" s="1"/>
  <c r="T9" i="1"/>
  <c r="S9" i="1" s="1"/>
  <c r="H9" i="1" s="1"/>
  <c r="S11" i="1"/>
  <c r="H11" i="1" s="1"/>
  <c r="T13" i="1"/>
  <c r="S13" i="1" s="1"/>
  <c r="O10" i="1"/>
  <c r="O12" i="1"/>
  <c r="H19" i="3" l="1"/>
  <c r="O16" i="3"/>
  <c r="O19" i="3" s="1"/>
  <c r="G16" i="2"/>
  <c r="G19" i="2" s="1"/>
  <c r="G11" i="1"/>
  <c r="O11" i="1"/>
  <c r="G9" i="1"/>
  <c r="O9" i="1"/>
  <c r="L19" i="1"/>
  <c r="S16" i="1"/>
  <c r="S19" i="1" s="1"/>
  <c r="H8" i="1"/>
  <c r="T16" i="1"/>
  <c r="T19" i="1" s="1"/>
  <c r="O13" i="1"/>
  <c r="G8" i="1" l="1"/>
  <c r="G16" i="1" s="1"/>
  <c r="G19" i="1" s="1"/>
  <c r="H16" i="1"/>
  <c r="O8" i="1"/>
  <c r="H19" i="1" l="1"/>
  <c r="O16" i="1"/>
  <c r="O19" i="1" s="1"/>
</calcChain>
</file>

<file path=xl/sharedStrings.xml><?xml version="1.0" encoding="utf-8"?>
<sst xmlns="http://schemas.openxmlformats.org/spreadsheetml/2006/main" count="449" uniqueCount="50">
  <si>
    <t xml:space="preserve">RESUMEN GENERAL INFORME DE CARTERA PROYECTO BAIA KRISTAL (Cifras en miles de millones)                </t>
  </si>
  <si>
    <r>
      <rPr>
        <b/>
        <sz val="10"/>
        <color theme="1"/>
        <rFont val="Aptos"/>
        <family val="2"/>
      </rPr>
      <t>Fecha Actualización:</t>
    </r>
    <r>
      <rPr>
        <sz val="10"/>
        <color theme="1"/>
        <rFont val="Aptos"/>
        <family val="2"/>
      </rPr>
      <t xml:space="preserve">  Mayo 2025 </t>
    </r>
  </si>
  <si>
    <t>ETAPAS DEL PROYECTO</t>
  </si>
  <si>
    <t xml:space="preserve">CIFRAS GENERALES </t>
  </si>
  <si>
    <t>RECAUDADO</t>
  </si>
  <si>
    <t>POR RECAUDAR</t>
  </si>
  <si>
    <t xml:space="preserve">UNI TOTALES </t>
  </si>
  <si>
    <t>UNI VENDIDAS (FIDU)</t>
  </si>
  <si>
    <t xml:space="preserve">UNIDADES VENDIDAS CRM (Estado: Vendido, reservado, separado) </t>
  </si>
  <si>
    <t>UNIDADES DISPONIBLE FIDUCIARIA</t>
  </si>
  <si>
    <t>VALOR TOTAL VENTA (FIDUCIARIA+DISPONIBLES)</t>
  </si>
  <si>
    <t>VALOR TOTAL VENTAS FIDUCIARIA</t>
  </si>
  <si>
    <t>VALOR CUOTAS INICIALES</t>
  </si>
  <si>
    <t>VALOR TOTAL($) UNIDADES DISPONIBLES</t>
  </si>
  <si>
    <t>RECAUDO (REAL+CARTERA)</t>
  </si>
  <si>
    <t>VR. TOTAL RECAUDADO A LA FECHA</t>
  </si>
  <si>
    <t>VALOR EN CUOTAS INICIALES (PLAN PAGOS) RECAUDADO</t>
  </si>
  <si>
    <t>VALOR CRÉDITOS CLIENTES (SUBROGACIONES) RECAUDADO</t>
  </si>
  <si>
    <t>% DE RECAUDO SOBRE VENTAS TOTALES FIDUCIARIA</t>
  </si>
  <si>
    <t>% DE RECAUDO SOBRE LA CUOTA INICIAL</t>
  </si>
  <si>
    <t>CARTERA &gt; 5 DIAS (sin tramites pendientes)</t>
  </si>
  <si>
    <t>% DE CARTERA &gt; 5 DIAS</t>
  </si>
  <si>
    <t>VR. TOTAL PENDIENTE POR RECAUDAR UNIDADES EN FIDUCIARIA</t>
  </si>
  <si>
    <t>VALOR EN CUOTAS INICIALES POR RECAUDAR EN FIDUCIARIA</t>
  </si>
  <si>
    <t>VALOR EN CREDITO POR RECAUDAR EN FIDUCIARIA</t>
  </si>
  <si>
    <t># CLIENTES DESISTIDOS</t>
  </si>
  <si>
    <t>% DESISTIMIENTOS</t>
  </si>
  <si>
    <t>FECHA DE CORTE INFO</t>
  </si>
  <si>
    <t>ETAPA 1 - KABO T 1 T2 - PRIVE T3 T4</t>
  </si>
  <si>
    <t>ETAPA 2 KABO T3 T4 PRIVE T1 T4</t>
  </si>
  <si>
    <t xml:space="preserve">ETAPA 3 KALA T1 T2 KALIZA T1 T2 </t>
  </si>
  <si>
    <t>ETAPA 4 KALA T3 T4 KALIZA T3</t>
  </si>
  <si>
    <t xml:space="preserve">ISLA LAGUNA T1 </t>
  </si>
  <si>
    <t xml:space="preserve">THE PLAZA T1 </t>
  </si>
  <si>
    <t xml:space="preserve">VELA VILLAGE </t>
  </si>
  <si>
    <t>TOTAL GENERAL</t>
  </si>
  <si>
    <t>INCREMENTOS DE MES ANTERIOR</t>
  </si>
  <si>
    <t xml:space="preserve"> </t>
  </si>
  <si>
    <r>
      <rPr>
        <b/>
        <sz val="10"/>
        <color theme="1"/>
        <rFont val="Aptos"/>
        <family val="2"/>
      </rPr>
      <t>Fecha Actualización:</t>
    </r>
    <r>
      <rPr>
        <sz val="10"/>
        <color theme="1"/>
        <rFont val="Aptos"/>
        <family val="2"/>
      </rPr>
      <t xml:space="preserve">  Junio 2025 </t>
    </r>
  </si>
  <si>
    <r>
      <rPr>
        <b/>
        <sz val="10"/>
        <color theme="1"/>
        <rFont val="Aptos"/>
        <family val="2"/>
      </rPr>
      <t>Fecha Actualización:</t>
    </r>
    <r>
      <rPr>
        <sz val="10"/>
        <color theme="1"/>
        <rFont val="Aptos"/>
        <family val="2"/>
      </rPr>
      <t xml:space="preserve">  Julio  2025 </t>
    </r>
  </si>
  <si>
    <r>
      <rPr>
        <b/>
        <sz val="10"/>
        <color theme="1"/>
        <rFont val="Aptos"/>
        <family val="2"/>
      </rPr>
      <t>Fecha Actualización:</t>
    </r>
    <r>
      <rPr>
        <sz val="10"/>
        <color theme="1"/>
        <rFont val="Aptos"/>
        <family val="2"/>
      </rPr>
      <t xml:space="preserve"> Agosto  2025 </t>
    </r>
  </si>
  <si>
    <r>
      <rPr>
        <b/>
        <sz val="10"/>
        <color theme="1"/>
        <rFont val="Aptos"/>
        <family val="2"/>
      </rPr>
      <t>Fecha Actualización:Septiembre</t>
    </r>
    <r>
      <rPr>
        <sz val="10"/>
        <color theme="1"/>
        <rFont val="Aptos"/>
        <family val="2"/>
      </rPr>
      <t xml:space="preserve"> 2025 </t>
    </r>
  </si>
  <si>
    <t xml:space="preserve">UNIDADES DISPONIBLE </t>
  </si>
  <si>
    <r>
      <rPr>
        <b/>
        <sz val="10"/>
        <color theme="1"/>
        <rFont val="Aptos"/>
        <family val="2"/>
      </rPr>
      <t xml:space="preserve">Fecha Actualización:Octubre </t>
    </r>
    <r>
      <rPr>
        <sz val="10"/>
        <color theme="1"/>
        <rFont val="Aptos"/>
        <family val="2"/>
      </rPr>
      <t xml:space="preserve">2025 </t>
    </r>
  </si>
  <si>
    <r>
      <rPr>
        <b/>
        <sz val="10"/>
        <color theme="1"/>
        <rFont val="Aptos"/>
        <family val="2"/>
      </rPr>
      <t xml:space="preserve">Fecha Actualización: Noviembre </t>
    </r>
    <r>
      <rPr>
        <sz val="10"/>
        <color theme="1"/>
        <rFont val="Aptos"/>
        <family val="2"/>
      </rPr>
      <t xml:space="preserve">2025 </t>
    </r>
  </si>
  <si>
    <r>
      <rPr>
        <b/>
        <sz val="10"/>
        <color theme="1"/>
        <rFont val="Aptos"/>
        <family val="2"/>
      </rPr>
      <t xml:space="preserve">Fecha Actualización: Diciembre </t>
    </r>
    <r>
      <rPr>
        <sz val="10"/>
        <color theme="1"/>
        <rFont val="Aptos"/>
        <family val="2"/>
      </rPr>
      <t xml:space="preserve">2025 </t>
    </r>
  </si>
  <si>
    <t>Fecha Actualización: Enero 2026</t>
  </si>
  <si>
    <t>Fecha Actualización: Febrero 2026</t>
  </si>
  <si>
    <t>Fecha Actualización: Marzo 2026</t>
  </si>
  <si>
    <t>Fecha Actualización: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</si>
</sst>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[$$-2C0A]* #,##0_);_([$$-2C0A]* \(#,##0\);_([$$-2C0A]* &quot;-&quot;_);_(@_)"/>
    <numFmt numFmtId="165" formatCode="#,##0.0,,_);[Red]\(#,##0.0,,\)"/>
    <numFmt numFmtId="166" formatCode="&quot;$&quot;#,##0.0,,_);[Red]\(#,##0.0,,\)"/>
    <numFmt numFmtId="167" formatCode="&quot;$&quot;\ #,##0.0;[Red]&quot;$&quot;\ #,##0.0"/>
    <numFmt numFmtId="168" formatCode="_-&quot;$&quot;* #,##0_-;\-&quot;$&quot;* #,##0_-;_-&quot;$&quot;* &quot;-&quot;??_-;_-@_-"/>
    <numFmt numFmtId="169" formatCode="\$\ #,##0.00_);[Red]\(\$\ #,##0.00\);&quot;-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9"/>
      <name val="Aptos"/>
      <family val="2"/>
    </font>
    <font>
      <b/>
      <sz val="10"/>
      <name val="Aptos Narrow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"/>
      <family val="2"/>
    </font>
    <font>
      <b/>
      <sz val="14"/>
      <color theme="1"/>
      <name val="Aptos"/>
      <family val="2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8">
    <xf numFmtId="0" fontId="0" fillId="0" borderId="0" xfId="0"/>
    <xf numFmtId="0" fontId="2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64" fontId="6" fillId="3" borderId="9" xfId="0" applyNumberFormat="1" applyFont="1" applyFill="1" applyBorder="1" applyAlignment="1">
      <alignment horizontal="center" vertical="center" wrapText="1"/>
    </xf>
    <xf numFmtId="164" fontId="6" fillId="3" borderId="10" xfId="0" applyNumberFormat="1" applyFont="1" applyFill="1" applyBorder="1" applyAlignment="1">
      <alignment horizontal="center" vertical="center" wrapText="1"/>
    </xf>
    <xf numFmtId="164" fontId="6" fillId="3" borderId="11" xfId="0" applyNumberFormat="1" applyFont="1" applyFill="1" applyBorder="1" applyAlignment="1">
      <alignment horizontal="center" vertical="center" wrapText="1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44" fontId="9" fillId="0" borderId="15" xfId="1" applyFont="1" applyFill="1" applyBorder="1" applyAlignment="1">
      <alignment horizontal="center" vertical="center"/>
    </xf>
    <xf numFmtId="10" fontId="9" fillId="0" borderId="15" xfId="2" applyNumberFormat="1" applyFont="1" applyFill="1" applyBorder="1" applyAlignment="1">
      <alignment horizontal="center" vertical="center"/>
    </xf>
    <xf numFmtId="10" fontId="9" fillId="0" borderId="16" xfId="2" applyNumberFormat="1" applyFont="1" applyFill="1" applyBorder="1" applyAlignment="1">
      <alignment horizontal="center" vertical="center"/>
    </xf>
    <xf numFmtId="44" fontId="9" fillId="0" borderId="21" xfId="1" applyFont="1" applyFill="1" applyBorder="1" applyAlignment="1">
      <alignment horizontal="center" vertical="center"/>
    </xf>
    <xf numFmtId="10" fontId="9" fillId="0" borderId="21" xfId="2" applyNumberFormat="1" applyFont="1" applyFill="1" applyBorder="1" applyAlignment="1">
      <alignment horizontal="center" vertical="center"/>
    </xf>
    <xf numFmtId="10" fontId="9" fillId="0" borderId="22" xfId="2" applyNumberFormat="1" applyFont="1" applyFill="1" applyBorder="1" applyAlignment="1">
      <alignment horizontal="center" vertical="center"/>
    </xf>
    <xf numFmtId="0" fontId="2" fillId="0" borderId="25" xfId="0" applyFont="1" applyBorder="1"/>
    <xf numFmtId="1" fontId="2" fillId="0" borderId="0" xfId="0" applyNumberFormat="1" applyFont="1"/>
    <xf numFmtId="44" fontId="9" fillId="0" borderId="28" xfId="1" applyFont="1" applyFill="1" applyBorder="1" applyAlignment="1">
      <alignment horizontal="center" vertical="center"/>
    </xf>
    <xf numFmtId="10" fontId="9" fillId="0" borderId="28" xfId="2" applyNumberFormat="1" applyFont="1" applyFill="1" applyBorder="1" applyAlignment="1">
      <alignment horizontal="center" vertical="center"/>
    </xf>
    <xf numFmtId="10" fontId="9" fillId="0" borderId="26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44" fontId="2" fillId="0" borderId="31" xfId="1" applyFont="1" applyFill="1" applyBorder="1" applyAlignment="1">
      <alignment horizontal="center" vertical="center"/>
    </xf>
    <xf numFmtId="10" fontId="3" fillId="0" borderId="2" xfId="2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166" fontId="10" fillId="0" borderId="0" xfId="0" applyNumberFormat="1" applyFont="1" applyAlignment="1">
      <alignment horizontal="center" vertical="center"/>
    </xf>
    <xf numFmtId="167" fontId="2" fillId="0" borderId="0" xfId="0" applyNumberFormat="1" applyFont="1"/>
    <xf numFmtId="10" fontId="2" fillId="0" borderId="0" xfId="2" applyNumberFormat="1" applyFont="1" applyFill="1" applyBorder="1"/>
    <xf numFmtId="166" fontId="3" fillId="0" borderId="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5" fontId="9" fillId="0" borderId="15" xfId="0" applyNumberFormat="1" applyFont="1" applyBorder="1" applyAlignment="1">
      <alignment horizontal="center" vertical="center"/>
    </xf>
    <xf numFmtId="166" fontId="9" fillId="0" borderId="15" xfId="0" applyNumberFormat="1" applyFont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165" fontId="9" fillId="0" borderId="17" xfId="0" applyNumberFormat="1" applyFont="1" applyBorder="1" applyAlignment="1">
      <alignment horizontal="center" vertical="center"/>
    </xf>
    <xf numFmtId="166" fontId="9" fillId="0" borderId="14" xfId="0" applyNumberFormat="1" applyFont="1" applyBorder="1" applyAlignment="1">
      <alignment horizontal="center" vertical="center"/>
    </xf>
    <xf numFmtId="166" fontId="9" fillId="0" borderId="18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14" fontId="9" fillId="0" borderId="16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5" fontId="9" fillId="0" borderId="21" xfId="0" applyNumberFormat="1" applyFont="1" applyBorder="1" applyAlignment="1">
      <alignment horizontal="center" vertical="center"/>
    </xf>
    <xf numFmtId="166" fontId="9" fillId="0" borderId="21" xfId="0" applyNumberFormat="1" applyFont="1" applyBorder="1" applyAlignment="1">
      <alignment horizontal="center" vertical="center"/>
    </xf>
    <xf numFmtId="165" fontId="9" fillId="0" borderId="22" xfId="0" applyNumberFormat="1" applyFont="1" applyBorder="1" applyAlignment="1">
      <alignment horizontal="center" vertical="center"/>
    </xf>
    <xf numFmtId="165" fontId="9" fillId="0" borderId="23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center" vertical="center"/>
    </xf>
    <xf numFmtId="166" fontId="9" fillId="0" borderId="24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4" fontId="9" fillId="0" borderId="26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165" fontId="9" fillId="0" borderId="28" xfId="0" applyNumberFormat="1" applyFont="1" applyBorder="1" applyAlignment="1">
      <alignment horizontal="center" vertical="center"/>
    </xf>
    <xf numFmtId="166" fontId="9" fillId="0" borderId="28" xfId="0" applyNumberFormat="1" applyFont="1" applyBorder="1" applyAlignment="1">
      <alignment horizontal="center" vertical="center"/>
    </xf>
    <xf numFmtId="165" fontId="9" fillId="0" borderId="26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6" fontId="9" fillId="0" borderId="27" xfId="0" applyNumberFormat="1" applyFont="1" applyBorder="1" applyAlignment="1">
      <alignment horizontal="center" vertical="center"/>
    </xf>
    <xf numFmtId="166" fontId="9" fillId="0" borderId="30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 indent="1"/>
    </xf>
    <xf numFmtId="0" fontId="7" fillId="3" borderId="19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7" fillId="2" borderId="13" xfId="0" applyFont="1" applyFill="1" applyBorder="1" applyAlignment="1">
      <alignment horizontal="left" vertical="center" wrapText="1" indent="1"/>
    </xf>
    <xf numFmtId="0" fontId="7" fillId="2" borderId="19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center" vertical="center"/>
    </xf>
    <xf numFmtId="166" fontId="2" fillId="0" borderId="0" xfId="0" applyNumberFormat="1" applyFont="1"/>
    <xf numFmtId="166" fontId="9" fillId="0" borderId="33" xfId="0" applyNumberFormat="1" applyFont="1" applyBorder="1" applyAlignment="1">
      <alignment horizontal="center" vertical="center"/>
    </xf>
    <xf numFmtId="44" fontId="9" fillId="0" borderId="34" xfId="1" applyFont="1" applyFill="1" applyBorder="1" applyAlignment="1">
      <alignment horizontal="center" vertical="center"/>
    </xf>
    <xf numFmtId="10" fontId="9" fillId="0" borderId="34" xfId="2" applyNumberFormat="1" applyFont="1" applyFill="1" applyBorder="1" applyAlignment="1">
      <alignment horizontal="center" vertical="center"/>
    </xf>
    <xf numFmtId="166" fontId="9" fillId="0" borderId="34" xfId="0" applyNumberFormat="1" applyFont="1" applyBorder="1" applyAlignment="1">
      <alignment horizontal="center" vertical="center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3" borderId="31" xfId="0" applyNumberFormat="1" applyFont="1" applyFill="1" applyBorder="1" applyAlignment="1">
      <alignment horizontal="center" vertical="center" wrapText="1"/>
    </xf>
    <xf numFmtId="164" fontId="6" fillId="3" borderId="36" xfId="0" applyNumberFormat="1" applyFont="1" applyFill="1" applyBorder="1" applyAlignment="1">
      <alignment horizontal="center" vertical="center" wrapText="1"/>
    </xf>
    <xf numFmtId="164" fontId="6" fillId="3" borderId="37" xfId="0" applyNumberFormat="1" applyFont="1" applyFill="1" applyBorder="1" applyAlignment="1">
      <alignment horizontal="center" vertical="center" wrapText="1"/>
    </xf>
    <xf numFmtId="44" fontId="9" fillId="0" borderId="34" xfId="1" applyFont="1" applyFill="1" applyBorder="1" applyAlignment="1">
      <alignment vertical="center"/>
    </xf>
    <xf numFmtId="0" fontId="5" fillId="4" borderId="32" xfId="0" applyFont="1" applyFill="1" applyBorder="1"/>
    <xf numFmtId="10" fontId="9" fillId="0" borderId="38" xfId="2" applyNumberFormat="1" applyFont="1" applyFill="1" applyBorder="1" applyAlignment="1">
      <alignment horizontal="center" vertical="center"/>
    </xf>
    <xf numFmtId="10" fontId="9" fillId="0" borderId="39" xfId="2" applyNumberFormat="1" applyFont="1" applyFill="1" applyBorder="1" applyAlignment="1">
      <alignment horizontal="center" vertical="center"/>
    </xf>
    <xf numFmtId="10" fontId="9" fillId="0" borderId="40" xfId="2" applyNumberFormat="1" applyFont="1" applyFill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68" fontId="9" fillId="0" borderId="21" xfId="3" applyNumberFormat="1" applyFont="1" applyFill="1" applyBorder="1" applyAlignment="1">
      <alignment horizontal="right"/>
    </xf>
    <xf numFmtId="6" fontId="9" fillId="0" borderId="21" xfId="1" applyNumberFormat="1" applyFont="1" applyFill="1" applyBorder="1" applyAlignment="1">
      <alignment horizontal="right" vertical="center"/>
    </xf>
    <xf numFmtId="44" fontId="9" fillId="0" borderId="21" xfId="1" applyFont="1" applyFill="1" applyBorder="1" applyAlignment="1">
      <alignment horizontal="right" vertical="center"/>
    </xf>
    <xf numFmtId="44" fontId="9" fillId="0" borderId="28" xfId="1" applyFont="1" applyFill="1" applyBorder="1" applyAlignment="1">
      <alignment horizontal="right" vertical="center"/>
    </xf>
    <xf numFmtId="9" fontId="9" fillId="0" borderId="26" xfId="2" applyFont="1" applyFill="1" applyBorder="1" applyAlignment="1">
      <alignment horizontal="center" vertical="center"/>
    </xf>
    <xf numFmtId="43" fontId="2" fillId="0" borderId="0" xfId="4" applyFont="1"/>
    <xf numFmtId="169" fontId="0" fillId="0" borderId="0" xfId="0" applyNumberFormat="1"/>
    <xf numFmtId="168" fontId="9" fillId="6" borderId="21" xfId="3" applyNumberFormat="1" applyFont="1" applyFill="1" applyBorder="1" applyAlignment="1">
      <alignment horizontal="right"/>
    </xf>
    <xf numFmtId="6" fontId="9" fillId="6" borderId="21" xfId="1" applyNumberFormat="1" applyFont="1" applyFill="1" applyBorder="1" applyAlignment="1">
      <alignment horizontal="right" vertical="center"/>
    </xf>
    <xf numFmtId="44" fontId="9" fillId="6" borderId="21" xfId="1" applyFont="1" applyFill="1" applyBorder="1" applyAlignment="1">
      <alignment horizontal="right" vertical="center"/>
    </xf>
    <xf numFmtId="44" fontId="9" fillId="6" borderId="28" xfId="1" applyFont="1" applyFill="1" applyBorder="1" applyAlignment="1">
      <alignment horizontal="right" vertical="center"/>
    </xf>
    <xf numFmtId="43" fontId="10" fillId="0" borderId="0" xfId="4" applyFont="1"/>
    <xf numFmtId="166" fontId="9" fillId="0" borderId="0" xfId="0" applyNumberFormat="1" applyFont="1" applyAlignment="1">
      <alignment horizontal="center" vertical="center"/>
    </xf>
    <xf numFmtId="2" fontId="2" fillId="0" borderId="0" xfId="0" applyNumberFormat="1" applyFont="1"/>
    <xf numFmtId="43" fontId="0" fillId="0" borderId="0" xfId="4" applyFont="1"/>
    <xf numFmtId="0" fontId="3" fillId="0" borderId="0" xfId="0" applyFont="1"/>
    <xf numFmtId="165" fontId="0" fillId="0" borderId="21" xfId="0" applyNumberFormat="1" applyBorder="1" applyAlignment="1">
      <alignment horizontal="center" vertical="center"/>
    </xf>
    <xf numFmtId="168" fontId="9" fillId="0" borderId="15" xfId="3" applyNumberFormat="1" applyFont="1" applyFill="1" applyBorder="1" applyAlignment="1">
      <alignment horizontal="right"/>
    </xf>
    <xf numFmtId="10" fontId="9" fillId="0" borderId="41" xfId="2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0" xfId="0" applyFont="1"/>
    <xf numFmtId="43" fontId="9" fillId="0" borderId="0" xfId="4" applyFont="1"/>
    <xf numFmtId="0" fontId="12" fillId="0" borderId="0" xfId="0" applyFont="1"/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4" fontId="13" fillId="3" borderId="8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164" fontId="13" fillId="3" borderId="10" xfId="0" applyNumberFormat="1" applyFont="1" applyFill="1" applyBorder="1" applyAlignment="1">
      <alignment horizontal="center" vertical="center" wrapText="1"/>
    </xf>
    <xf numFmtId="164" fontId="13" fillId="3" borderId="11" xfId="0" applyNumberFormat="1" applyFont="1" applyFill="1" applyBorder="1" applyAlignment="1">
      <alignment horizontal="center" vertical="center" wrapText="1"/>
    </xf>
    <xf numFmtId="164" fontId="13" fillId="3" borderId="12" xfId="0" applyNumberFormat="1" applyFont="1" applyFill="1" applyBorder="1" applyAlignment="1">
      <alignment horizontal="center" vertical="center" wrapText="1"/>
    </xf>
    <xf numFmtId="164" fontId="13" fillId="3" borderId="4" xfId="0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left" vertical="center" wrapText="1" indent="1"/>
    </xf>
    <xf numFmtId="0" fontId="13" fillId="2" borderId="19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44" fontId="9" fillId="0" borderId="31" xfId="1" applyFont="1" applyFill="1" applyBorder="1" applyAlignment="1">
      <alignment horizontal="center" vertical="center"/>
    </xf>
    <xf numFmtId="10" fontId="12" fillId="0" borderId="2" xfId="2" applyNumberFormat="1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166" fontId="14" fillId="0" borderId="0" xfId="0" applyNumberFormat="1" applyFont="1" applyAlignment="1">
      <alignment horizontal="center" vertical="center"/>
    </xf>
    <xf numFmtId="167" fontId="9" fillId="0" borderId="0" xfId="0" applyNumberFormat="1" applyFont="1"/>
    <xf numFmtId="10" fontId="9" fillId="0" borderId="0" xfId="2" applyNumberFormat="1" applyFont="1" applyFill="1" applyBorder="1"/>
    <xf numFmtId="166" fontId="12" fillId="0" borderId="3" xfId="0" applyNumberFormat="1" applyFont="1" applyBorder="1" applyAlignment="1">
      <alignment horizontal="center" vertical="center"/>
    </xf>
    <xf numFmtId="166" fontId="9" fillId="0" borderId="0" xfId="0" applyNumberFormat="1" applyFont="1"/>
    <xf numFmtId="168" fontId="9" fillId="0" borderId="34" xfId="3" applyNumberFormat="1" applyFont="1" applyFill="1" applyBorder="1" applyAlignment="1">
      <alignment horizontal="right"/>
    </xf>
    <xf numFmtId="164" fontId="13" fillId="3" borderId="35" xfId="0" applyNumberFormat="1" applyFont="1" applyFill="1" applyBorder="1" applyAlignment="1">
      <alignment horizontal="center" vertical="center" wrapText="1"/>
    </xf>
    <xf numFmtId="164" fontId="13" fillId="3" borderId="31" xfId="0" applyNumberFormat="1" applyFont="1" applyFill="1" applyBorder="1" applyAlignment="1">
      <alignment horizontal="center" vertical="center" wrapText="1"/>
    </xf>
    <xf numFmtId="164" fontId="13" fillId="3" borderId="36" xfId="0" applyNumberFormat="1" applyFont="1" applyFill="1" applyBorder="1" applyAlignment="1">
      <alignment horizontal="center" vertical="center" wrapText="1"/>
    </xf>
    <xf numFmtId="164" fontId="13" fillId="3" borderId="37" xfId="0" applyNumberFormat="1" applyFont="1" applyFill="1" applyBorder="1" applyAlignment="1">
      <alignment horizontal="center" vertical="center" wrapText="1"/>
    </xf>
    <xf numFmtId="164" fontId="13" fillId="3" borderId="32" xfId="0" applyNumberFormat="1" applyFont="1" applyFill="1" applyBorder="1" applyAlignment="1">
      <alignment horizontal="center" vertical="center" wrapText="1"/>
    </xf>
    <xf numFmtId="164" fontId="13" fillId="3" borderId="3" xfId="0" applyNumberFormat="1" applyFont="1" applyFill="1" applyBorder="1" applyAlignment="1">
      <alignment horizontal="center" vertical="center" wrapText="1"/>
    </xf>
    <xf numFmtId="14" fontId="9" fillId="0" borderId="42" xfId="0" applyNumberFormat="1" applyFont="1" applyBorder="1" applyAlignment="1">
      <alignment horizontal="center" vertical="center"/>
    </xf>
    <xf numFmtId="14" fontId="9" fillId="0" borderId="32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</cellXfs>
  <cellStyles count="5">
    <cellStyle name="Millares" xfId="4" builtinId="3"/>
    <cellStyle name="Moneda" xfId="1" builtinId="4"/>
    <cellStyle name="Moneda 7" xfId="3" xr:uid="{EFBBFBB2-8949-45CA-AD44-C261C74D292B}"/>
    <cellStyle name="Normal" xfId="0" builtinId="0"/>
    <cellStyle name="Porcentaje" xfId="2" builtinId="5"/>
  </cellStyles>
  <dxfs count="132"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border>
        <top style="thin">
          <color auto="1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11C3-82B8-492F-A422-72CCE7BA557C}">
  <dimension ref="A2:Y22"/>
  <sheetViews>
    <sheetView showGridLines="0" topLeftCell="A5" zoomScale="80" zoomScaleNormal="80" workbookViewId="0">
      <selection activeCell="J16" sqref="J16"/>
    </sheetView>
  </sheetViews>
  <sheetFormatPr baseColWidth="10" defaultColWidth="11.44140625" defaultRowHeight="13.8" x14ac:dyDescent="0.3"/>
  <cols>
    <col min="1" max="1" width="2.44140625" style="1" customWidth="1"/>
    <col min="2" max="2" width="32.44140625" style="1" customWidth="1"/>
    <col min="3" max="5" width="11.5546875" style="1" bestFit="1" customWidth="1"/>
    <col min="6" max="6" width="11.5546875" style="1" customWidth="1"/>
    <col min="7" max="7" width="13.109375" style="1" customWidth="1"/>
    <col min="8" max="8" width="12.109375" style="1" customWidth="1"/>
    <col min="9" max="10" width="13.5546875" style="1" bestFit="1" customWidth="1"/>
    <col min="11" max="11" width="12" style="1" hidden="1" customWidth="1"/>
    <col min="12" max="12" width="13.5546875" style="1" bestFit="1" customWidth="1"/>
    <col min="13" max="13" width="19.44140625" style="1" hidden="1" customWidth="1"/>
    <col min="14" max="14" width="11.109375" style="1" hidden="1" customWidth="1"/>
    <col min="15" max="16" width="11.5546875" style="1" bestFit="1" customWidth="1"/>
    <col min="17" max="17" width="12.44140625" style="1" bestFit="1" customWidth="1"/>
    <col min="18" max="18" width="11.5546875" style="1" bestFit="1" customWidth="1"/>
    <col min="19" max="19" width="11.88671875" style="1" bestFit="1" customWidth="1"/>
    <col min="20" max="20" width="12.6640625" style="1" bestFit="1" customWidth="1"/>
    <col min="21" max="21" width="13.88671875" style="1" customWidth="1"/>
    <col min="22" max="23" width="11.5546875" style="1" hidden="1" customWidth="1"/>
    <col min="24" max="24" width="11.5546875" style="1" bestFit="1" customWidth="1"/>
    <col min="25" max="16384" width="11.44140625" style="1"/>
  </cols>
  <sheetData>
    <row r="2" spans="1:25" ht="14.4" thickBot="1" x14ac:dyDescent="0.35"/>
    <row r="3" spans="1:25" ht="35.4" customHeight="1" thickBot="1" x14ac:dyDescent="0.35">
      <c r="B3" s="149" t="s">
        <v>0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1"/>
    </row>
    <row r="5" spans="1:25" ht="14.4" thickBot="1" x14ac:dyDescent="0.35">
      <c r="B5" s="1" t="s">
        <v>1</v>
      </c>
    </row>
    <row r="6" spans="1:25" ht="22.95" customHeight="1" thickBot="1" x14ac:dyDescent="0.35">
      <c r="B6" s="152" t="s">
        <v>2</v>
      </c>
      <c r="C6" s="154" t="s">
        <v>3</v>
      </c>
      <c r="D6" s="155"/>
      <c r="E6" s="155"/>
      <c r="F6" s="155"/>
      <c r="G6" s="155"/>
      <c r="H6" s="155"/>
      <c r="I6" s="155"/>
      <c r="J6" s="156"/>
      <c r="K6" s="70"/>
      <c r="L6" s="154" t="s">
        <v>4</v>
      </c>
      <c r="M6" s="155"/>
      <c r="N6" s="155"/>
      <c r="O6" s="155"/>
      <c r="P6" s="155"/>
      <c r="Q6" s="155"/>
      <c r="R6" s="156"/>
      <c r="S6" s="154" t="s">
        <v>5</v>
      </c>
      <c r="T6" s="155"/>
      <c r="U6" s="156"/>
      <c r="V6" s="3"/>
      <c r="W6" s="3"/>
      <c r="X6" s="2"/>
    </row>
    <row r="7" spans="1:25" ht="72.599999999999994" thickBot="1" x14ac:dyDescent="0.35">
      <c r="B7" s="153"/>
      <c r="C7" s="4" t="s">
        <v>6</v>
      </c>
      <c r="D7" s="4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4" t="s">
        <v>13</v>
      </c>
      <c r="K7" s="6" t="s">
        <v>14</v>
      </c>
      <c r="L7" s="7" t="s">
        <v>15</v>
      </c>
      <c r="M7" s="8" t="s">
        <v>16</v>
      </c>
      <c r="N7" s="8" t="s">
        <v>17</v>
      </c>
      <c r="O7" s="9" t="s">
        <v>18</v>
      </c>
      <c r="P7" s="9" t="s">
        <v>19</v>
      </c>
      <c r="Q7" s="9" t="s">
        <v>20</v>
      </c>
      <c r="R7" s="10" t="s">
        <v>21</v>
      </c>
      <c r="S7" s="11" t="s">
        <v>22</v>
      </c>
      <c r="T7" s="11" t="s">
        <v>23</v>
      </c>
      <c r="U7" s="11" t="s">
        <v>24</v>
      </c>
      <c r="V7" s="12" t="s">
        <v>25</v>
      </c>
      <c r="W7" s="12" t="s">
        <v>26</v>
      </c>
      <c r="X7" s="12" t="s">
        <v>27</v>
      </c>
    </row>
    <row r="8" spans="1:25" ht="26.25" customHeight="1" thickBot="1" x14ac:dyDescent="0.35">
      <c r="B8" s="67" t="s">
        <v>28</v>
      </c>
      <c r="C8" s="38">
        <v>303</v>
      </c>
      <c r="D8" s="39">
        <v>298</v>
      </c>
      <c r="E8" s="39">
        <v>302</v>
      </c>
      <c r="F8" s="39">
        <f>C8-D8</f>
        <v>5</v>
      </c>
      <c r="G8" s="40">
        <f>H8+J8</f>
        <v>134966227123</v>
      </c>
      <c r="H8" s="41">
        <f t="shared" ref="H8:H14" si="0">L8+S8</f>
        <v>131797332918</v>
      </c>
      <c r="I8" s="41">
        <v>97269190331</v>
      </c>
      <c r="J8" s="42">
        <v>3168894205</v>
      </c>
      <c r="K8" s="43">
        <v>111914181322.61</v>
      </c>
      <c r="L8" s="44">
        <f t="shared" ref="L8:L14" si="1">M8+N8</f>
        <v>117287943317.10999</v>
      </c>
      <c r="M8" s="13">
        <v>117287943317.10999</v>
      </c>
      <c r="N8" s="13">
        <v>0</v>
      </c>
      <c r="O8" s="14">
        <f>L8/H8</f>
        <v>0.88991135647701392</v>
      </c>
      <c r="P8" s="14">
        <f>M8/I8</f>
        <v>1.2058077477358207</v>
      </c>
      <c r="Q8" s="41">
        <v>1670489340.95</v>
      </c>
      <c r="R8" s="15">
        <f>Q8/K8</f>
        <v>1.4926520671536301E-2</v>
      </c>
      <c r="S8" s="45">
        <f t="shared" ref="S8:S14" si="2">T8+U8</f>
        <v>14509389600.890015</v>
      </c>
      <c r="T8" s="41">
        <v>0</v>
      </c>
      <c r="U8" s="41">
        <f>34528142587+T22</f>
        <v>14509389600.890015</v>
      </c>
      <c r="V8" s="46">
        <v>12</v>
      </c>
      <c r="W8" s="14" t="e">
        <f>V8/#REF!</f>
        <v>#REF!</v>
      </c>
      <c r="X8" s="47">
        <v>45805</v>
      </c>
    </row>
    <row r="9" spans="1:25" ht="21" customHeight="1" x14ac:dyDescent="0.3">
      <c r="B9" s="68" t="s">
        <v>29</v>
      </c>
      <c r="C9" s="48">
        <v>293</v>
      </c>
      <c r="D9" s="49">
        <v>289</v>
      </c>
      <c r="E9" s="49">
        <v>293</v>
      </c>
      <c r="F9" s="49">
        <f>C9-D9</f>
        <v>4</v>
      </c>
      <c r="G9" s="50">
        <f t="shared" ref="G9:G14" si="3">H9+J9</f>
        <v>161056439982</v>
      </c>
      <c r="H9" s="51">
        <f t="shared" si="0"/>
        <v>157462387342</v>
      </c>
      <c r="I9" s="51">
        <v>74651908945.800003</v>
      </c>
      <c r="J9" s="52">
        <v>3594052640</v>
      </c>
      <c r="K9" s="53">
        <v>83030959223.610001</v>
      </c>
      <c r="L9" s="54">
        <f t="shared" si="1"/>
        <v>68370782684.400002</v>
      </c>
      <c r="M9" s="16">
        <v>68370782684.400002</v>
      </c>
      <c r="N9" s="16">
        <v>0</v>
      </c>
      <c r="O9" s="17">
        <f t="shared" ref="O9:P13" si="4">L9/H9</f>
        <v>0.43420389998217329</v>
      </c>
      <c r="P9" s="17">
        <f>M9/I9</f>
        <v>0.9158611434041114</v>
      </c>
      <c r="Q9" s="51">
        <v>4187386063.6999998</v>
      </c>
      <c r="R9" s="18">
        <f t="shared" ref="R9:R12" si="5">Q9/K9</f>
        <v>5.0431623371024588E-2</v>
      </c>
      <c r="S9" s="55">
        <f t="shared" si="2"/>
        <v>89091604657.600006</v>
      </c>
      <c r="T9" s="51">
        <f>+I9-L9</f>
        <v>6281126261.4000015</v>
      </c>
      <c r="U9" s="51">
        <v>82810478396.199997</v>
      </c>
      <c r="V9" s="56">
        <v>2</v>
      </c>
      <c r="W9" s="17" t="e">
        <f>V9/#REF!</f>
        <v>#REF!</v>
      </c>
      <c r="X9" s="47">
        <v>45805</v>
      </c>
    </row>
    <row r="10" spans="1:25" ht="21" customHeight="1" thickBot="1" x14ac:dyDescent="0.35">
      <c r="A10" s="19"/>
      <c r="B10" s="68" t="s">
        <v>30</v>
      </c>
      <c r="C10" s="48">
        <v>312</v>
      </c>
      <c r="D10" s="49">
        <v>302</v>
      </c>
      <c r="E10" s="49">
        <v>309</v>
      </c>
      <c r="F10" s="49">
        <f>C10-D10</f>
        <v>10</v>
      </c>
      <c r="G10" s="50">
        <f t="shared" si="3"/>
        <v>176061416502</v>
      </c>
      <c r="H10" s="51">
        <f t="shared" si="0"/>
        <v>168762803457</v>
      </c>
      <c r="I10" s="51">
        <v>56160005702</v>
      </c>
      <c r="J10" s="52">
        <v>7298613045</v>
      </c>
      <c r="K10" s="53">
        <v>57562916991</v>
      </c>
      <c r="L10" s="54">
        <f t="shared" si="1"/>
        <v>56955856575.530006</v>
      </c>
      <c r="M10" s="16">
        <v>56955856575.530006</v>
      </c>
      <c r="N10" s="16">
        <v>0</v>
      </c>
      <c r="O10" s="17">
        <f t="shared" si="4"/>
        <v>0.33749058091489992</v>
      </c>
      <c r="P10" s="17">
        <f t="shared" si="4"/>
        <v>1.0141711323491134</v>
      </c>
      <c r="Q10" s="51">
        <v>578178801</v>
      </c>
      <c r="R10" s="18">
        <f t="shared" si="5"/>
        <v>1.0044292944542727E-2</v>
      </c>
      <c r="S10" s="55">
        <f t="shared" si="2"/>
        <v>111806946881.47</v>
      </c>
      <c r="T10" s="51">
        <f>+I10-L10</f>
        <v>-795850873.53000641</v>
      </c>
      <c r="U10" s="51">
        <v>112602797755</v>
      </c>
      <c r="V10" s="56">
        <v>11</v>
      </c>
      <c r="W10" s="17" t="e">
        <f>V10/#REF!</f>
        <v>#REF!</v>
      </c>
      <c r="X10" s="57">
        <v>45813</v>
      </c>
    </row>
    <row r="11" spans="1:25" ht="21" customHeight="1" thickBot="1" x14ac:dyDescent="0.35">
      <c r="B11" s="68" t="s">
        <v>31</v>
      </c>
      <c r="C11" s="48">
        <v>231</v>
      </c>
      <c r="D11" s="49">
        <v>212</v>
      </c>
      <c r="E11" s="49">
        <v>219</v>
      </c>
      <c r="F11" s="49">
        <f t="shared" ref="F11:F14" si="6">C11-D11</f>
        <v>19</v>
      </c>
      <c r="G11" s="50">
        <f>H11+J11</f>
        <v>138391449375</v>
      </c>
      <c r="H11" s="51">
        <f t="shared" si="0"/>
        <v>124567443475</v>
      </c>
      <c r="I11" s="51">
        <v>37514844334</v>
      </c>
      <c r="J11" s="52">
        <v>13824005900</v>
      </c>
      <c r="K11" s="53">
        <v>30082136103</v>
      </c>
      <c r="L11" s="54">
        <f t="shared" si="1"/>
        <v>30028400196.199997</v>
      </c>
      <c r="M11" s="16">
        <v>30028400196.199997</v>
      </c>
      <c r="N11" s="16">
        <v>0</v>
      </c>
      <c r="O11" s="17">
        <f>L11/H11</f>
        <v>0.24106138296260798</v>
      </c>
      <c r="P11" s="17">
        <f t="shared" si="4"/>
        <v>0.80044048507446475</v>
      </c>
      <c r="Q11" s="51">
        <v>231538707</v>
      </c>
      <c r="R11" s="18">
        <f>Q11/K11</f>
        <v>7.6968838318934854E-3</v>
      </c>
      <c r="S11" s="55">
        <f t="shared" si="2"/>
        <v>94539043278.800003</v>
      </c>
      <c r="T11" s="51">
        <f>+I11-L11</f>
        <v>7486444137.8000031</v>
      </c>
      <c r="U11" s="51">
        <v>87052599141</v>
      </c>
      <c r="V11" s="56">
        <v>9</v>
      </c>
      <c r="W11" s="17" t="e">
        <f>V11/#REF!</f>
        <v>#REF!</v>
      </c>
      <c r="X11" s="57">
        <v>45813</v>
      </c>
    </row>
    <row r="12" spans="1:25" ht="21" customHeight="1" thickBot="1" x14ac:dyDescent="0.35">
      <c r="B12" s="68" t="s">
        <v>32</v>
      </c>
      <c r="C12" s="48">
        <v>237</v>
      </c>
      <c r="D12" s="49">
        <v>215</v>
      </c>
      <c r="E12" s="49">
        <v>225</v>
      </c>
      <c r="F12" s="49">
        <f t="shared" si="6"/>
        <v>22</v>
      </c>
      <c r="G12" s="50">
        <f>H12+J12</f>
        <v>174887345086</v>
      </c>
      <c r="H12" s="51">
        <f t="shared" si="0"/>
        <v>154587412686</v>
      </c>
      <c r="I12" s="51">
        <v>47326647468</v>
      </c>
      <c r="J12" s="52">
        <v>20299932400</v>
      </c>
      <c r="K12" s="53">
        <v>34882633251.709999</v>
      </c>
      <c r="L12" s="54">
        <f>M12+N12</f>
        <v>34356918245.709999</v>
      </c>
      <c r="M12" s="16">
        <v>34356918245.709999</v>
      </c>
      <c r="N12" s="16">
        <v>0</v>
      </c>
      <c r="O12" s="17">
        <f t="shared" si="4"/>
        <v>0.22224913172908992</v>
      </c>
      <c r="P12" s="17">
        <f>M12/I12</f>
        <v>0.72595292681444412</v>
      </c>
      <c r="Q12" s="51">
        <v>124832708</v>
      </c>
      <c r="R12" s="18">
        <f t="shared" si="5"/>
        <v>3.5786492120367811E-3</v>
      </c>
      <c r="S12" s="55">
        <f t="shared" si="2"/>
        <v>120230494440.29001</v>
      </c>
      <c r="T12" s="51">
        <f t="shared" ref="T12:T13" si="7">+I12-L12</f>
        <v>12969729222.290001</v>
      </c>
      <c r="U12" s="51">
        <v>107260765218</v>
      </c>
      <c r="V12" s="56">
        <v>6</v>
      </c>
      <c r="W12" s="17" t="e">
        <f>V12/#REF!</f>
        <v>#REF!</v>
      </c>
      <c r="X12" s="47">
        <v>45805</v>
      </c>
      <c r="Y12" s="20"/>
    </row>
    <row r="13" spans="1:25" ht="21" customHeight="1" x14ac:dyDescent="0.3">
      <c r="B13" s="68" t="s">
        <v>33</v>
      </c>
      <c r="C13" s="48">
        <v>151</v>
      </c>
      <c r="D13" s="49">
        <v>24</v>
      </c>
      <c r="E13" s="49">
        <v>124</v>
      </c>
      <c r="F13" s="49">
        <f t="shared" si="6"/>
        <v>127</v>
      </c>
      <c r="G13" s="50">
        <f t="shared" si="3"/>
        <v>122254452623</v>
      </c>
      <c r="H13" s="51">
        <f t="shared" si="0"/>
        <v>26727378780</v>
      </c>
      <c r="I13" s="51">
        <v>8018265018</v>
      </c>
      <c r="J13" s="52">
        <v>95527073843</v>
      </c>
      <c r="K13" s="53">
        <v>3111458513.75</v>
      </c>
      <c r="L13" s="54">
        <f>M13+N13</f>
        <v>2786918939.75</v>
      </c>
      <c r="M13" s="16">
        <v>2786918939.75</v>
      </c>
      <c r="N13" s="16">
        <v>0</v>
      </c>
      <c r="O13" s="17">
        <f>L13/H13</f>
        <v>0.10427206359029272</v>
      </c>
      <c r="P13" s="17">
        <f t="shared" si="4"/>
        <v>0.34757131792148505</v>
      </c>
      <c r="Q13" s="51">
        <v>111445320</v>
      </c>
      <c r="R13" s="18">
        <f>Q13/K13</f>
        <v>3.581771041056999E-2</v>
      </c>
      <c r="S13" s="55">
        <f t="shared" si="2"/>
        <v>23940459840.25</v>
      </c>
      <c r="T13" s="51">
        <f t="shared" si="7"/>
        <v>5231346078.25</v>
      </c>
      <c r="U13" s="51">
        <v>18709113762</v>
      </c>
      <c r="V13" s="56">
        <v>5</v>
      </c>
      <c r="W13" s="17" t="e">
        <f>V13/#REF!</f>
        <v>#REF!</v>
      </c>
      <c r="X13" s="47">
        <v>45805</v>
      </c>
      <c r="Y13" s="20"/>
    </row>
    <row r="14" spans="1:25" ht="21" customHeight="1" thickBot="1" x14ac:dyDescent="0.35">
      <c r="B14" s="68" t="s">
        <v>34</v>
      </c>
      <c r="C14" s="58">
        <v>141</v>
      </c>
      <c r="D14" s="59">
        <v>132</v>
      </c>
      <c r="E14" s="59">
        <v>141</v>
      </c>
      <c r="F14" s="59">
        <f t="shared" si="6"/>
        <v>9</v>
      </c>
      <c r="G14" s="60">
        <f t="shared" si="3"/>
        <v>52763294752</v>
      </c>
      <c r="H14" s="61">
        <f t="shared" si="0"/>
        <v>48862294789</v>
      </c>
      <c r="I14" s="61">
        <v>16403564807</v>
      </c>
      <c r="J14" s="62">
        <v>3900999963</v>
      </c>
      <c r="K14" s="63">
        <v>16286895666.129999</v>
      </c>
      <c r="L14" s="64">
        <f t="shared" si="1"/>
        <v>15290868511.849998</v>
      </c>
      <c r="M14" s="21">
        <v>15290868511.849998</v>
      </c>
      <c r="N14" s="21">
        <v>0</v>
      </c>
      <c r="O14" s="22">
        <f>L14/H14</f>
        <v>0.31293799396610239</v>
      </c>
      <c r="P14" s="22">
        <f>M14/I14</f>
        <v>0.93216740944778209</v>
      </c>
      <c r="Q14" s="61">
        <v>0</v>
      </c>
      <c r="R14" s="23">
        <f>Q14/K14</f>
        <v>0</v>
      </c>
      <c r="S14" s="65">
        <f t="shared" si="2"/>
        <v>33571426277.150002</v>
      </c>
      <c r="T14" s="61">
        <f>+I14-L14</f>
        <v>1112696295.1500015</v>
      </c>
      <c r="U14" s="61">
        <v>32458729982</v>
      </c>
      <c r="V14" s="66">
        <v>0</v>
      </c>
      <c r="W14" s="22" t="e">
        <f>V14/#REF!</f>
        <v>#REF!</v>
      </c>
      <c r="X14" s="57">
        <v>45813</v>
      </c>
      <c r="Y14" s="20"/>
    </row>
    <row r="15" spans="1:25" ht="14.4" thickBot="1" x14ac:dyDescent="0.35"/>
    <row r="16" spans="1:25" ht="25.2" customHeight="1" thickBot="1" x14ac:dyDescent="0.35">
      <c r="B16" s="69" t="s">
        <v>35</v>
      </c>
      <c r="C16" s="24">
        <f t="shared" ref="C16:N16" si="8">SUM(C8:C14)</f>
        <v>1668</v>
      </c>
      <c r="D16" s="25">
        <f t="shared" si="8"/>
        <v>1472</v>
      </c>
      <c r="E16" s="25">
        <f>SUM(E8:E14)</f>
        <v>1613</v>
      </c>
      <c r="F16" s="25">
        <f t="shared" si="8"/>
        <v>196</v>
      </c>
      <c r="G16" s="26">
        <f t="shared" si="8"/>
        <v>960380625443</v>
      </c>
      <c r="H16" s="26">
        <f>SUM(H8:H14)</f>
        <v>812767053447</v>
      </c>
      <c r="I16" s="26">
        <f t="shared" si="8"/>
        <v>337344426605.79999</v>
      </c>
      <c r="J16" s="26">
        <f t="shared" si="8"/>
        <v>147613571996</v>
      </c>
      <c r="K16" s="26">
        <f t="shared" si="8"/>
        <v>336871181071.81</v>
      </c>
      <c r="L16" s="26">
        <f t="shared" si="8"/>
        <v>325077688470.54999</v>
      </c>
      <c r="M16" s="27">
        <f t="shared" si="8"/>
        <v>325077688470.54999</v>
      </c>
      <c r="N16" s="28">
        <f t="shared" si="8"/>
        <v>0</v>
      </c>
      <c r="O16" s="29">
        <f>L16/H16</f>
        <v>0.39996415589420553</v>
      </c>
      <c r="P16" s="29">
        <f>M16/I16</f>
        <v>0.96363734756589248</v>
      </c>
      <c r="Q16" s="26">
        <f>SUM(Q8:Q14)</f>
        <v>6903870940.6499996</v>
      </c>
      <c r="R16" s="29">
        <f>+Q16/K16</f>
        <v>2.0494097828980859E-2</v>
      </c>
      <c r="S16" s="26">
        <f>SUM(S8:S14)</f>
        <v>487689364976.45007</v>
      </c>
      <c r="T16" s="26">
        <f>SUM(T8:T14)</f>
        <v>32285491121.360001</v>
      </c>
      <c r="U16" s="26">
        <f>SUM(U8:U14)</f>
        <v>455403873855.09003</v>
      </c>
      <c r="V16" s="30">
        <f>SUM(V8:V14)</f>
        <v>45</v>
      </c>
      <c r="W16" s="30"/>
      <c r="X16" s="31"/>
    </row>
    <row r="17" spans="2:22" ht="25.2" customHeight="1" x14ac:dyDescent="0.3">
      <c r="C17" s="32">
        <v>1668</v>
      </c>
      <c r="D17" s="33">
        <v>1475</v>
      </c>
      <c r="E17" s="33">
        <v>1614</v>
      </c>
      <c r="F17" s="33">
        <v>193</v>
      </c>
      <c r="G17" s="33">
        <v>959479301314</v>
      </c>
      <c r="H17" s="33">
        <v>812046819318</v>
      </c>
      <c r="I17" s="33">
        <v>332366567171.79999</v>
      </c>
      <c r="J17" s="33">
        <v>147432481996</v>
      </c>
      <c r="K17" s="33">
        <v>309297293318.53998</v>
      </c>
      <c r="L17" s="33">
        <v>319915257176.96997</v>
      </c>
      <c r="M17" s="33">
        <v>319915257176.96997</v>
      </c>
      <c r="N17" s="33">
        <v>0</v>
      </c>
      <c r="O17" s="33">
        <v>0.39396159133490821</v>
      </c>
      <c r="P17" s="33">
        <v>0.96253741734380294</v>
      </c>
      <c r="Q17" s="33">
        <v>3630130055.8299999</v>
      </c>
      <c r="R17" s="33">
        <v>1.1736701659692157E-2</v>
      </c>
      <c r="S17" s="34">
        <v>492131562141.03003</v>
      </c>
      <c r="T17" s="34">
        <v>12451309994.830006</v>
      </c>
      <c r="U17" s="34">
        <v>479680252146.20001</v>
      </c>
      <c r="V17" s="1">
        <v>45</v>
      </c>
    </row>
    <row r="18" spans="2:22" ht="14.4" thickBot="1" x14ac:dyDescent="0.35">
      <c r="H18" s="35"/>
      <c r="J18" s="36"/>
    </row>
    <row r="19" spans="2:22" ht="19.95" customHeight="1" thickBot="1" x14ac:dyDescent="0.35">
      <c r="B19" s="69" t="s">
        <v>36</v>
      </c>
      <c r="C19" s="24">
        <f>+C16-C17</f>
        <v>0</v>
      </c>
      <c r="D19" s="25">
        <f>+D16-D17</f>
        <v>-3</v>
      </c>
      <c r="E19" s="25">
        <f t="shared" ref="E19:U19" si="9">+E16-E17</f>
        <v>-1</v>
      </c>
      <c r="F19" s="25">
        <f>+F16-F17</f>
        <v>3</v>
      </c>
      <c r="G19" s="26">
        <f>+G16-G17</f>
        <v>901324129</v>
      </c>
      <c r="H19" s="26">
        <f t="shared" si="9"/>
        <v>720234129</v>
      </c>
      <c r="I19" s="26">
        <f t="shared" si="9"/>
        <v>4977859434</v>
      </c>
      <c r="J19" s="26">
        <f>+J16-J17</f>
        <v>181090000</v>
      </c>
      <c r="K19" s="26">
        <f t="shared" si="9"/>
        <v>27573887753.27002</v>
      </c>
      <c r="L19" s="26">
        <f>+L16-L17</f>
        <v>5162431293.5800171</v>
      </c>
      <c r="M19" s="27">
        <f t="shared" si="9"/>
        <v>5162431293.5800171</v>
      </c>
      <c r="N19" s="28">
        <f t="shared" si="9"/>
        <v>0</v>
      </c>
      <c r="O19" s="29">
        <f t="shared" si="9"/>
        <v>6.0025645592973187E-3</v>
      </c>
      <c r="P19" s="29">
        <f t="shared" si="9"/>
        <v>1.0999302220895402E-3</v>
      </c>
      <c r="Q19" s="26">
        <f t="shared" si="9"/>
        <v>3273740884.8199997</v>
      </c>
      <c r="R19" s="29">
        <f t="shared" si="9"/>
        <v>8.7573961692887017E-3</v>
      </c>
      <c r="S19" s="26">
        <f t="shared" si="9"/>
        <v>-4442197164.5799561</v>
      </c>
      <c r="T19" s="26">
        <f t="shared" si="9"/>
        <v>19834181126.529995</v>
      </c>
      <c r="U19" s="37">
        <f t="shared" si="9"/>
        <v>-24276378291.109985</v>
      </c>
    </row>
    <row r="22" spans="2:22" x14ac:dyDescent="0.3">
      <c r="T22" s="33">
        <v>-20018752986.109985</v>
      </c>
    </row>
  </sheetData>
  <mergeCells count="5">
    <mergeCell ref="B3:X3"/>
    <mergeCell ref="B6:B7"/>
    <mergeCell ref="C6:J6"/>
    <mergeCell ref="L6:R6"/>
    <mergeCell ref="S6:U6"/>
  </mergeCells>
  <conditionalFormatting sqref="B8:L14 Q8:Q14 S8:W14 G16:M16 O16:X16">
    <cfRule type="expression" dxfId="131" priority="7">
      <formula>#REF!="Total"</formula>
    </cfRule>
  </conditionalFormatting>
  <conditionalFormatting sqref="B8:L14 Q8:Q14 S8:W14">
    <cfRule type="containsText" dxfId="130" priority="6" operator="containsText" text="Proyecto">
      <formula>NOT(ISERROR(SEARCH("Proyecto",B8)))</formula>
    </cfRule>
  </conditionalFormatting>
  <conditionalFormatting sqref="G16:M16 O16:X16">
    <cfRule type="containsText" dxfId="129" priority="5" operator="containsText" text="Proyecto">
      <formula>NOT(ISERROR(SEARCH("Proyecto",G16)))</formula>
    </cfRule>
  </conditionalFormatting>
  <conditionalFormatting sqref="G19:M19 O19:U19">
    <cfRule type="containsText" dxfId="128" priority="3" operator="containsText" text="Proyecto">
      <formula>NOT(ISERROR(SEARCH("Proyecto",G19)))</formula>
    </cfRule>
    <cfRule type="expression" dxfId="127" priority="4">
      <formula>#REF!="Total"</formula>
    </cfRule>
  </conditionalFormatting>
  <conditionalFormatting sqref="S17:U17">
    <cfRule type="containsText" dxfId="126" priority="1" operator="containsText" text="Proyecto">
      <formula>NOT(ISERROR(SEARCH("Proyecto",S17)))</formula>
    </cfRule>
    <cfRule type="expression" dxfId="125" priority="2">
      <formula>#REF!="Total"</formula>
    </cfRule>
  </conditionalFormatting>
  <pageMargins left="0.7" right="0.7" top="0.75" bottom="0.75" header="0.3" footer="0.3"/>
  <ignoredErrors>
    <ignoredError sqref="R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9964-1F3D-470D-B7B2-933838E7198A}">
  <dimension ref="A1:Y22"/>
  <sheetViews>
    <sheetView showGridLines="0" topLeftCell="A7" zoomScale="80" zoomScaleNormal="80" workbookViewId="0">
      <selection activeCell="J7" sqref="J7"/>
    </sheetView>
  </sheetViews>
  <sheetFormatPr baseColWidth="10" defaultColWidth="11.44140625" defaultRowHeight="13.8" x14ac:dyDescent="0.3"/>
  <cols>
    <col min="1" max="1" width="2.44140625" style="1" customWidth="1"/>
    <col min="2" max="2" width="32.44140625" style="1" customWidth="1"/>
    <col min="3" max="5" width="11.5546875" style="1" bestFit="1" customWidth="1"/>
    <col min="6" max="6" width="11.88671875" style="1" customWidth="1"/>
    <col min="7" max="7" width="13.109375" style="1" customWidth="1"/>
    <col min="8" max="8" width="12.109375" style="1" customWidth="1"/>
    <col min="9" max="10" width="13.5546875" style="1" bestFit="1" customWidth="1"/>
    <col min="11" max="11" width="12" style="1" hidden="1" customWidth="1"/>
    <col min="12" max="12" width="13.5546875" style="1" bestFit="1" customWidth="1"/>
    <col min="13" max="13" width="19.44140625" style="1" hidden="1" customWidth="1"/>
    <col min="14" max="14" width="11.109375" style="1" hidden="1" customWidth="1"/>
    <col min="15" max="15" width="11.5546875" style="1" bestFit="1" customWidth="1"/>
    <col min="16" max="16" width="12" style="1" bestFit="1" customWidth="1"/>
    <col min="17" max="17" width="12.44140625" style="1" bestFit="1" customWidth="1"/>
    <col min="18" max="18" width="11.5546875" style="1" bestFit="1" customWidth="1"/>
    <col min="19" max="19" width="11.88671875" style="1" bestFit="1" customWidth="1"/>
    <col min="20" max="20" width="11.5546875" style="1" bestFit="1" customWidth="1"/>
    <col min="21" max="21" width="13.88671875" style="1" customWidth="1"/>
    <col min="22" max="23" width="11.5546875" style="1" hidden="1" customWidth="1"/>
    <col min="24" max="24" width="11.5546875" style="1" bestFit="1" customWidth="1"/>
    <col min="25" max="16384" width="11.44140625" style="1"/>
  </cols>
  <sheetData>
    <row r="1" spans="1:25" x14ac:dyDescent="0.3">
      <c r="A1" s="1" t="s">
        <v>37</v>
      </c>
    </row>
    <row r="2" spans="1:25" ht="14.4" thickBot="1" x14ac:dyDescent="0.35"/>
    <row r="3" spans="1:25" ht="38.4" customHeight="1" thickBot="1" x14ac:dyDescent="0.35">
      <c r="B3" s="157" t="s">
        <v>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9"/>
    </row>
    <row r="5" spans="1:25" ht="14.4" thickBot="1" x14ac:dyDescent="0.35">
      <c r="B5" s="1" t="s">
        <v>38</v>
      </c>
    </row>
    <row r="6" spans="1:25" ht="14.4" thickBot="1" x14ac:dyDescent="0.35">
      <c r="B6" s="152" t="s">
        <v>2</v>
      </c>
      <c r="C6" s="160" t="s">
        <v>3</v>
      </c>
      <c r="D6" s="161"/>
      <c r="E6" s="161"/>
      <c r="F6" s="161"/>
      <c r="G6" s="161"/>
      <c r="H6" s="161"/>
      <c r="I6" s="161"/>
      <c r="J6" s="162"/>
      <c r="K6" s="2"/>
      <c r="L6" s="160" t="s">
        <v>4</v>
      </c>
      <c r="M6" s="161"/>
      <c r="N6" s="161"/>
      <c r="O6" s="161"/>
      <c r="P6" s="161"/>
      <c r="Q6" s="161"/>
      <c r="R6" s="162"/>
      <c r="S6" s="160" t="s">
        <v>5</v>
      </c>
      <c r="T6" s="161"/>
      <c r="U6" s="162"/>
      <c r="V6" s="3"/>
      <c r="W6" s="3"/>
      <c r="X6" s="84"/>
    </row>
    <row r="7" spans="1:25" ht="84.6" thickBot="1" x14ac:dyDescent="0.35">
      <c r="B7" s="153"/>
      <c r="C7" s="4" t="s">
        <v>6</v>
      </c>
      <c r="D7" s="4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4" t="s">
        <v>13</v>
      </c>
      <c r="K7" s="6" t="s">
        <v>14</v>
      </c>
      <c r="L7" s="79" t="s">
        <v>15</v>
      </c>
      <c r="M7" s="80" t="s">
        <v>16</v>
      </c>
      <c r="N7" s="80" t="s">
        <v>17</v>
      </c>
      <c r="O7" s="81" t="s">
        <v>18</v>
      </c>
      <c r="P7" s="81" t="s">
        <v>19</v>
      </c>
      <c r="Q7" s="81" t="s">
        <v>20</v>
      </c>
      <c r="R7" s="82" t="s">
        <v>21</v>
      </c>
      <c r="S7" s="11" t="s">
        <v>22</v>
      </c>
      <c r="T7" s="11" t="s">
        <v>23</v>
      </c>
      <c r="U7" s="11" t="s">
        <v>24</v>
      </c>
      <c r="V7" s="12" t="s">
        <v>25</v>
      </c>
      <c r="W7" s="12" t="s">
        <v>26</v>
      </c>
      <c r="X7" s="12" t="s">
        <v>27</v>
      </c>
    </row>
    <row r="8" spans="1:25" ht="30.6" customHeight="1" thickBot="1" x14ac:dyDescent="0.35">
      <c r="B8" s="71" t="s">
        <v>28</v>
      </c>
      <c r="C8" s="38">
        <v>303</v>
      </c>
      <c r="D8" s="39">
        <v>300</v>
      </c>
      <c r="E8" s="39">
        <v>303</v>
      </c>
      <c r="F8" s="39">
        <f>C8-D8</f>
        <v>3</v>
      </c>
      <c r="G8" s="40">
        <f>H8+J8</f>
        <v>134193385125</v>
      </c>
      <c r="H8" s="41">
        <f t="shared" ref="H8:H14" si="0">L8+S8</f>
        <v>130449390920</v>
      </c>
      <c r="I8" s="41">
        <v>96537673483</v>
      </c>
      <c r="J8" s="42">
        <v>3743994205</v>
      </c>
      <c r="K8" s="43">
        <v>112855260029.61</v>
      </c>
      <c r="L8" s="75">
        <f t="shared" ref="L8:L13" si="1">M8+N8</f>
        <v>120486086903</v>
      </c>
      <c r="M8" s="83">
        <v>120486086903</v>
      </c>
      <c r="N8" s="76">
        <v>0</v>
      </c>
      <c r="O8" s="77">
        <f>L8/H8</f>
        <v>0.92362322317694723</v>
      </c>
      <c r="P8" s="77">
        <f>M8/I8</f>
        <v>1.2480732397618557</v>
      </c>
      <c r="Q8" s="78">
        <v>871773922.95000005</v>
      </c>
      <c r="R8" s="85">
        <f>Q8/K8</f>
        <v>7.7247079375943259E-3</v>
      </c>
      <c r="S8" s="44">
        <f t="shared" ref="S8:S14" si="2">T8+U8</f>
        <v>9963304017</v>
      </c>
      <c r="T8" s="41">
        <v>0</v>
      </c>
      <c r="U8" s="41">
        <f>33911717437+T22</f>
        <v>9963304017</v>
      </c>
      <c r="V8" s="46">
        <v>12</v>
      </c>
      <c r="W8" s="14" t="e">
        <f>V8/#REF!</f>
        <v>#REF!</v>
      </c>
      <c r="X8" s="47">
        <v>45836</v>
      </c>
    </row>
    <row r="9" spans="1:25" ht="30.6" customHeight="1" x14ac:dyDescent="0.3">
      <c r="B9" s="72" t="s">
        <v>29</v>
      </c>
      <c r="C9" s="48">
        <v>293</v>
      </c>
      <c r="D9" s="49">
        <v>289</v>
      </c>
      <c r="E9" s="49">
        <v>293</v>
      </c>
      <c r="F9" s="49">
        <f>C9-D9</f>
        <v>4</v>
      </c>
      <c r="G9" s="40">
        <f>H9+J9</f>
        <v>161043978311</v>
      </c>
      <c r="H9" s="51">
        <f t="shared" si="0"/>
        <v>157489925671</v>
      </c>
      <c r="I9" s="51">
        <v>76742130859.800003</v>
      </c>
      <c r="J9" s="52">
        <v>3554052640</v>
      </c>
      <c r="K9" s="53">
        <v>85844312361.610001</v>
      </c>
      <c r="L9" s="54">
        <f t="shared" si="1"/>
        <v>69243314044.400009</v>
      </c>
      <c r="M9" s="16">
        <v>69243314044.400009</v>
      </c>
      <c r="N9" s="16">
        <v>0</v>
      </c>
      <c r="O9" s="17">
        <f t="shared" ref="O9:P13" si="3">L9/H9</f>
        <v>0.43966821210552126</v>
      </c>
      <c r="P9" s="17">
        <f>M9/I9</f>
        <v>0.90228552776180315</v>
      </c>
      <c r="Q9" s="51">
        <v>7669085772.71</v>
      </c>
      <c r="R9" s="86">
        <f t="shared" ref="R9:R12" si="4">Q9/K9</f>
        <v>8.9337144904892418E-2</v>
      </c>
      <c r="S9" s="54">
        <f t="shared" si="2"/>
        <v>88246611626.599991</v>
      </c>
      <c r="T9" s="51">
        <f>+I9-L9</f>
        <v>7498816815.3999939</v>
      </c>
      <c r="U9" s="51">
        <v>80747794811.199997</v>
      </c>
      <c r="V9" s="56">
        <v>2</v>
      </c>
      <c r="W9" s="17" t="e">
        <f>V9/#REF!</f>
        <v>#REF!</v>
      </c>
      <c r="X9" s="88">
        <v>45836</v>
      </c>
    </row>
    <row r="10" spans="1:25" ht="30.6" customHeight="1" x14ac:dyDescent="0.3">
      <c r="A10" s="19"/>
      <c r="B10" s="72" t="s">
        <v>30</v>
      </c>
      <c r="C10" s="48">
        <v>312</v>
      </c>
      <c r="D10" s="49">
        <v>302</v>
      </c>
      <c r="E10" s="49">
        <v>310</v>
      </c>
      <c r="F10" s="49">
        <f>C10-D10</f>
        <v>10</v>
      </c>
      <c r="G10" s="50">
        <f t="shared" ref="G10:G14" si="5">H10+J10</f>
        <v>176879266123</v>
      </c>
      <c r="H10" s="51">
        <f t="shared" si="0"/>
        <v>169659773078</v>
      </c>
      <c r="I10" s="51">
        <v>57083650514</v>
      </c>
      <c r="J10" s="52">
        <v>7219493045</v>
      </c>
      <c r="K10" s="53">
        <v>57869549654</v>
      </c>
      <c r="L10" s="54">
        <f t="shared" si="1"/>
        <v>57547671929.140007</v>
      </c>
      <c r="M10" s="16">
        <v>57547671929.140007</v>
      </c>
      <c r="N10" s="16">
        <v>0</v>
      </c>
      <c r="O10" s="17">
        <f t="shared" si="3"/>
        <v>0.33919455911733909</v>
      </c>
      <c r="P10" s="17">
        <f t="shared" si="3"/>
        <v>1.0081287971417701</v>
      </c>
      <c r="Q10" s="51">
        <v>364776527</v>
      </c>
      <c r="R10" s="86">
        <f t="shared" si="4"/>
        <v>6.3034277816396709E-3</v>
      </c>
      <c r="S10" s="54">
        <f t="shared" si="2"/>
        <v>112112101148.85999</v>
      </c>
      <c r="T10" s="51">
        <f>+I10-L10</f>
        <v>-464021415.14000702</v>
      </c>
      <c r="U10" s="51">
        <v>112576122564</v>
      </c>
      <c r="V10" s="56">
        <v>11</v>
      </c>
      <c r="W10" s="17" t="e">
        <f>V10/#REF!</f>
        <v>#REF!</v>
      </c>
      <c r="X10" s="88">
        <v>45840</v>
      </c>
    </row>
    <row r="11" spans="1:25" ht="30.6" customHeight="1" x14ac:dyDescent="0.3">
      <c r="B11" s="72" t="s">
        <v>31</v>
      </c>
      <c r="C11" s="48">
        <v>231</v>
      </c>
      <c r="D11" s="49">
        <v>213</v>
      </c>
      <c r="E11" s="49">
        <v>217</v>
      </c>
      <c r="F11" s="49">
        <f t="shared" ref="F11:F14" si="6">C11-D11</f>
        <v>18</v>
      </c>
      <c r="G11" s="50">
        <f>H11+J11</f>
        <v>138748779992</v>
      </c>
      <c r="H11" s="51">
        <f t="shared" si="0"/>
        <v>125848774092</v>
      </c>
      <c r="I11" s="51">
        <v>38604152302</v>
      </c>
      <c r="J11" s="52">
        <v>12900005900</v>
      </c>
      <c r="K11" s="53">
        <v>30199104884</v>
      </c>
      <c r="L11" s="54">
        <f t="shared" si="1"/>
        <v>31000018273.199997</v>
      </c>
      <c r="M11" s="16">
        <v>31000018273.199997</v>
      </c>
      <c r="N11" s="16">
        <v>0</v>
      </c>
      <c r="O11" s="17">
        <f>L11/H11</f>
        <v>0.2463275347484741</v>
      </c>
      <c r="P11" s="17">
        <f t="shared" si="3"/>
        <v>0.80302289843556418</v>
      </c>
      <c r="Q11" s="51">
        <v>166098522</v>
      </c>
      <c r="R11" s="86">
        <f>Q11/K11</f>
        <v>5.500114080798528E-3</v>
      </c>
      <c r="S11" s="54">
        <f t="shared" si="2"/>
        <v>94848755818.800003</v>
      </c>
      <c r="T11" s="51">
        <f t="shared" ref="T11:T13" si="7">+I11-L11</f>
        <v>7604134028.8000031</v>
      </c>
      <c r="U11" s="51">
        <v>87244621790</v>
      </c>
      <c r="V11" s="56">
        <v>9</v>
      </c>
      <c r="W11" s="17" t="e">
        <f>V11/#REF!</f>
        <v>#REF!</v>
      </c>
      <c r="X11" s="88">
        <v>45840</v>
      </c>
    </row>
    <row r="12" spans="1:25" ht="30.6" customHeight="1" x14ac:dyDescent="0.3">
      <c r="B12" s="72" t="s">
        <v>32</v>
      </c>
      <c r="C12" s="48">
        <v>237</v>
      </c>
      <c r="D12" s="49">
        <v>215</v>
      </c>
      <c r="E12" s="49">
        <v>227</v>
      </c>
      <c r="F12" s="49">
        <f t="shared" si="6"/>
        <v>22</v>
      </c>
      <c r="G12" s="50">
        <f>H12+J12</f>
        <v>174667345086</v>
      </c>
      <c r="H12" s="51">
        <f t="shared" si="0"/>
        <v>154587412686</v>
      </c>
      <c r="I12" s="51">
        <v>47326647468</v>
      </c>
      <c r="J12" s="52">
        <v>20079932400</v>
      </c>
      <c r="K12" s="53">
        <v>34442824981</v>
      </c>
      <c r="L12" s="54">
        <f t="shared" si="1"/>
        <v>35052315342.009995</v>
      </c>
      <c r="M12" s="16">
        <v>35052315342.009995</v>
      </c>
      <c r="N12" s="16">
        <v>0</v>
      </c>
      <c r="O12" s="17">
        <f t="shared" si="3"/>
        <v>0.22674753870943376</v>
      </c>
      <c r="P12" s="17">
        <f>M12/I12</f>
        <v>0.74064649024021156</v>
      </c>
      <c r="Q12" s="51">
        <v>247613031</v>
      </c>
      <c r="R12" s="86">
        <f t="shared" si="4"/>
        <v>7.1891034239088391E-3</v>
      </c>
      <c r="S12" s="54">
        <f t="shared" si="2"/>
        <v>119535097343.99001</v>
      </c>
      <c r="T12" s="51">
        <f t="shared" si="7"/>
        <v>12274332125.990005</v>
      </c>
      <c r="U12" s="51">
        <v>107260765218</v>
      </c>
      <c r="V12" s="56">
        <v>6</v>
      </c>
      <c r="W12" s="17" t="e">
        <f>V12/#REF!</f>
        <v>#REF!</v>
      </c>
      <c r="X12" s="88">
        <v>45838</v>
      </c>
      <c r="Y12" s="20"/>
    </row>
    <row r="13" spans="1:25" ht="30.6" customHeight="1" x14ac:dyDescent="0.3">
      <c r="B13" s="72" t="s">
        <v>33</v>
      </c>
      <c r="C13" s="48">
        <v>151</v>
      </c>
      <c r="D13" s="49">
        <v>24</v>
      </c>
      <c r="E13" s="49">
        <v>123</v>
      </c>
      <c r="F13" s="49">
        <f t="shared" si="6"/>
        <v>127</v>
      </c>
      <c r="G13" s="50">
        <f t="shared" si="5"/>
        <v>122254452623</v>
      </c>
      <c r="H13" s="51">
        <f t="shared" si="0"/>
        <v>26727378780</v>
      </c>
      <c r="I13" s="51">
        <v>8018265018</v>
      </c>
      <c r="J13" s="52">
        <v>95527073843</v>
      </c>
      <c r="K13" s="53">
        <v>3347277154</v>
      </c>
      <c r="L13" s="54">
        <f t="shared" si="1"/>
        <v>2958181864.75</v>
      </c>
      <c r="M13" s="16">
        <v>2958181864.75</v>
      </c>
      <c r="N13" s="16">
        <v>0</v>
      </c>
      <c r="O13" s="17">
        <f>L13/H13</f>
        <v>0.11067983467812402</v>
      </c>
      <c r="P13" s="17">
        <f t="shared" si="3"/>
        <v>0.36893041800305332</v>
      </c>
      <c r="Q13" s="51">
        <v>191583017</v>
      </c>
      <c r="R13" s="86">
        <f>Q13/K13</f>
        <v>5.7235480716336287E-2</v>
      </c>
      <c r="S13" s="54">
        <f t="shared" si="2"/>
        <v>23769196915.25</v>
      </c>
      <c r="T13" s="51">
        <f t="shared" si="7"/>
        <v>5060083153.25</v>
      </c>
      <c r="U13" s="51">
        <v>18709113762</v>
      </c>
      <c r="V13" s="56">
        <v>5</v>
      </c>
      <c r="W13" s="17" t="e">
        <f>V13/#REF!</f>
        <v>#REF!</v>
      </c>
      <c r="X13" s="88">
        <v>45838</v>
      </c>
      <c r="Y13" s="20"/>
    </row>
    <row r="14" spans="1:25" ht="30.6" customHeight="1" thickBot="1" x14ac:dyDescent="0.35">
      <c r="B14" s="72" t="s">
        <v>34</v>
      </c>
      <c r="C14" s="58">
        <v>141</v>
      </c>
      <c r="D14" s="59">
        <v>131</v>
      </c>
      <c r="E14" s="59">
        <v>141</v>
      </c>
      <c r="F14" s="59">
        <f t="shared" si="6"/>
        <v>10</v>
      </c>
      <c r="G14" s="60">
        <f t="shared" si="5"/>
        <v>52960275996</v>
      </c>
      <c r="H14" s="61">
        <f t="shared" si="0"/>
        <v>48475575033</v>
      </c>
      <c r="I14" s="61">
        <v>16309260815</v>
      </c>
      <c r="J14" s="62">
        <v>4484700963</v>
      </c>
      <c r="K14" s="63">
        <v>16286895666.129999</v>
      </c>
      <c r="L14" s="64">
        <v>15233067404.849998</v>
      </c>
      <c r="M14" s="21">
        <v>15233067404.849998</v>
      </c>
      <c r="N14" s="21">
        <v>0</v>
      </c>
      <c r="O14" s="22">
        <f>L14/H14</f>
        <v>0.31424211872638969</v>
      </c>
      <c r="P14" s="22">
        <f>M14/I14</f>
        <v>0.93401335459911206</v>
      </c>
      <c r="Q14" s="61">
        <v>0</v>
      </c>
      <c r="R14" s="87">
        <f>Q14/K14</f>
        <v>0</v>
      </c>
      <c r="S14" s="64">
        <f t="shared" si="2"/>
        <v>33242507628.150002</v>
      </c>
      <c r="T14" s="61">
        <f>+I14-L14</f>
        <v>1076193410.1500015</v>
      </c>
      <c r="U14" s="61">
        <v>32166314218</v>
      </c>
      <c r="V14" s="66">
        <v>0</v>
      </c>
      <c r="W14" s="22" t="e">
        <f>V14/#REF!</f>
        <v>#REF!</v>
      </c>
      <c r="X14" s="57">
        <v>45838</v>
      </c>
      <c r="Y14" s="20"/>
    </row>
    <row r="15" spans="1:25" ht="14.4" thickBot="1" x14ac:dyDescent="0.35"/>
    <row r="16" spans="1:25" ht="14.4" thickBot="1" x14ac:dyDescent="0.35">
      <c r="B16" s="73" t="s">
        <v>35</v>
      </c>
      <c r="C16" s="24">
        <f t="shared" ref="C16:N16" si="8">SUM(C8:C14)</f>
        <v>1668</v>
      </c>
      <c r="D16" s="25">
        <f t="shared" si="8"/>
        <v>1474</v>
      </c>
      <c r="E16" s="25">
        <f t="shared" si="8"/>
        <v>1614</v>
      </c>
      <c r="F16" s="25">
        <f t="shared" si="8"/>
        <v>194</v>
      </c>
      <c r="G16" s="26">
        <f t="shared" si="8"/>
        <v>960747483256</v>
      </c>
      <c r="H16" s="26">
        <f t="shared" si="8"/>
        <v>813238230260</v>
      </c>
      <c r="I16" s="26">
        <f t="shared" si="8"/>
        <v>340621780459.79999</v>
      </c>
      <c r="J16" s="26">
        <f t="shared" si="8"/>
        <v>147509252996</v>
      </c>
      <c r="K16" s="26">
        <f t="shared" si="8"/>
        <v>340845224730.34998</v>
      </c>
      <c r="L16" s="26">
        <f t="shared" si="8"/>
        <v>331520655761.35004</v>
      </c>
      <c r="M16" s="27">
        <f t="shared" si="8"/>
        <v>331520655761.35004</v>
      </c>
      <c r="N16" s="28">
        <f t="shared" si="8"/>
        <v>0</v>
      </c>
      <c r="O16" s="29">
        <f>L16/H16</f>
        <v>0.40765503074709086</v>
      </c>
      <c r="P16" s="29">
        <f>M16/I16</f>
        <v>0.97328084925701319</v>
      </c>
      <c r="Q16" s="26">
        <f>SUM(Q8:Q14)</f>
        <v>9510930792.6599998</v>
      </c>
      <c r="R16" s="29">
        <f>+Q16/K16</f>
        <v>2.790395787467553E-2</v>
      </c>
      <c r="S16" s="26">
        <f>SUM(S8:S14)</f>
        <v>481717574498.64996</v>
      </c>
      <c r="T16" s="26">
        <f>SUM(T8:T14)</f>
        <v>33049538118.449997</v>
      </c>
      <c r="U16" s="26">
        <f>SUM(U8:U14)</f>
        <v>448668036380.20001</v>
      </c>
      <c r="V16" s="30">
        <f>SUM(V8:V14)</f>
        <v>45</v>
      </c>
      <c r="W16" s="30"/>
      <c r="X16" s="31"/>
    </row>
    <row r="17" spans="2:22" x14ac:dyDescent="0.3">
      <c r="C17" s="32">
        <v>1668</v>
      </c>
      <c r="D17" s="33">
        <v>1472</v>
      </c>
      <c r="E17" s="33">
        <v>1613</v>
      </c>
      <c r="F17" s="33">
        <v>196</v>
      </c>
      <c r="G17" s="33">
        <v>960380625443</v>
      </c>
      <c r="H17" s="33">
        <v>812767053447</v>
      </c>
      <c r="I17" s="33">
        <v>337344426605.79999</v>
      </c>
      <c r="J17" s="33">
        <v>147613571996</v>
      </c>
      <c r="K17" s="33">
        <v>336871181071.81</v>
      </c>
      <c r="L17" s="33">
        <v>325077688470.54999</v>
      </c>
      <c r="M17" s="33">
        <v>325077688470.54999</v>
      </c>
      <c r="N17" s="33">
        <v>0</v>
      </c>
      <c r="O17" s="33">
        <v>0.39996415589420553</v>
      </c>
      <c r="P17" s="33">
        <v>0.96363734756589248</v>
      </c>
      <c r="Q17" s="33">
        <v>6903870940.6499996</v>
      </c>
      <c r="R17" s="33">
        <v>2.0494097828980859E-2</v>
      </c>
      <c r="S17" s="34">
        <v>487689364976.45007</v>
      </c>
      <c r="T17" s="34">
        <v>32285491121.360001</v>
      </c>
      <c r="U17" s="34">
        <v>455403873855.09003</v>
      </c>
      <c r="V17" s="1">
        <v>45</v>
      </c>
    </row>
    <row r="18" spans="2:22" ht="14.4" thickBot="1" x14ac:dyDescent="0.35">
      <c r="H18" s="35"/>
      <c r="J18" s="36"/>
    </row>
    <row r="19" spans="2:22" ht="14.4" thickBot="1" x14ac:dyDescent="0.35">
      <c r="B19" s="73" t="s">
        <v>36</v>
      </c>
      <c r="C19" s="24">
        <f>+C16-C17</f>
        <v>0</v>
      </c>
      <c r="D19" s="25">
        <f>+D16-D17</f>
        <v>2</v>
      </c>
      <c r="E19" s="25">
        <f t="shared" ref="E19:U19" si="9">+E16-E17</f>
        <v>1</v>
      </c>
      <c r="F19" s="25">
        <f>+F16-F17</f>
        <v>-2</v>
      </c>
      <c r="G19" s="26">
        <f>+G16-G17</f>
        <v>366857813</v>
      </c>
      <c r="H19" s="26">
        <f t="shared" si="9"/>
        <v>471176813</v>
      </c>
      <c r="I19" s="26">
        <f t="shared" si="9"/>
        <v>3277353854</v>
      </c>
      <c r="J19" s="26">
        <f>+J16-J17</f>
        <v>-104319000</v>
      </c>
      <c r="K19" s="26">
        <f t="shared" si="9"/>
        <v>3974043658.539978</v>
      </c>
      <c r="L19" s="26">
        <f>+L16-L17</f>
        <v>6442967290.8000488</v>
      </c>
      <c r="M19" s="27">
        <f t="shared" si="9"/>
        <v>6442967290.8000488</v>
      </c>
      <c r="N19" s="28">
        <f t="shared" si="9"/>
        <v>0</v>
      </c>
      <c r="O19" s="29">
        <f t="shared" si="9"/>
        <v>7.6908748528853321E-3</v>
      </c>
      <c r="P19" s="29">
        <f t="shared" si="9"/>
        <v>9.643501691120715E-3</v>
      </c>
      <c r="Q19" s="26">
        <f t="shared" si="9"/>
        <v>2607059852.0100002</v>
      </c>
      <c r="R19" s="29">
        <f t="shared" si="9"/>
        <v>7.409860045694671E-3</v>
      </c>
      <c r="S19" s="26">
        <f t="shared" si="9"/>
        <v>-5971790477.8001099</v>
      </c>
      <c r="T19" s="26">
        <f t="shared" si="9"/>
        <v>764046997.08999634</v>
      </c>
      <c r="U19" s="37">
        <f t="shared" si="9"/>
        <v>-6735837474.8900146</v>
      </c>
    </row>
    <row r="21" spans="2:22" x14ac:dyDescent="0.3">
      <c r="T21" s="74"/>
    </row>
    <row r="22" spans="2:22" x14ac:dyDescent="0.3">
      <c r="T22" s="33">
        <v>-23948413420</v>
      </c>
    </row>
  </sheetData>
  <mergeCells count="5">
    <mergeCell ref="B3:X3"/>
    <mergeCell ref="B6:B7"/>
    <mergeCell ref="C6:J6"/>
    <mergeCell ref="L6:R6"/>
    <mergeCell ref="S6:U6"/>
  </mergeCells>
  <conditionalFormatting sqref="B8:L14 Q8:Q14 S8:W14 G16:M16 O16:X16">
    <cfRule type="expression" dxfId="124" priority="7">
      <formula>#REF!="Total"</formula>
    </cfRule>
  </conditionalFormatting>
  <conditionalFormatting sqref="B8:L14 Q8:Q14 S8:W14">
    <cfRule type="containsText" dxfId="123" priority="6" operator="containsText" text="Proyecto">
      <formula>NOT(ISERROR(SEARCH("Proyecto",B8)))</formula>
    </cfRule>
  </conditionalFormatting>
  <conditionalFormatting sqref="G16:M16 O16:X16">
    <cfRule type="containsText" dxfId="122" priority="5" operator="containsText" text="Proyecto">
      <formula>NOT(ISERROR(SEARCH("Proyecto",G16)))</formula>
    </cfRule>
  </conditionalFormatting>
  <conditionalFormatting sqref="G19:M19 O19:U19">
    <cfRule type="containsText" dxfId="121" priority="3" operator="containsText" text="Proyecto">
      <formula>NOT(ISERROR(SEARCH("Proyecto",G19)))</formula>
    </cfRule>
    <cfRule type="expression" dxfId="120" priority="4">
      <formula>#REF!="Total"</formula>
    </cfRule>
  </conditionalFormatting>
  <conditionalFormatting sqref="S17:U17">
    <cfRule type="containsText" dxfId="119" priority="1" operator="containsText" text="Proyecto">
      <formula>NOT(ISERROR(SEARCH("Proyecto",S17)))</formula>
    </cfRule>
    <cfRule type="expression" dxfId="118" priority="2">
      <formula>#REF!="Total"</formula>
    </cfRule>
  </conditionalFormatting>
  <pageMargins left="0.7" right="0.7" top="0.75" bottom="0.75" header="0.3" footer="0.3"/>
  <ignoredErrors>
    <ignoredError sqref="R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54F1-BE75-4361-ABC5-5128D38AC865}">
  <dimension ref="A1:Y22"/>
  <sheetViews>
    <sheetView topLeftCell="G5" workbookViewId="0">
      <selection activeCell="B6" sqref="B6:X7"/>
    </sheetView>
  </sheetViews>
  <sheetFormatPr baseColWidth="10" defaultColWidth="11.44140625" defaultRowHeight="13.8" x14ac:dyDescent="0.3"/>
  <cols>
    <col min="1" max="1" width="2.44140625" style="1" customWidth="1"/>
    <col min="2" max="2" width="32.44140625" style="1" customWidth="1"/>
    <col min="3" max="5" width="11.5546875" style="1" bestFit="1" customWidth="1"/>
    <col min="6" max="6" width="11.88671875" style="1" customWidth="1"/>
    <col min="7" max="7" width="13.109375" style="1" customWidth="1"/>
    <col min="8" max="8" width="12.109375" style="1" customWidth="1"/>
    <col min="9" max="10" width="13.5546875" style="1" bestFit="1" customWidth="1"/>
    <col min="11" max="11" width="12" style="1" bestFit="1" customWidth="1"/>
    <col min="12" max="12" width="13.5546875" style="1" bestFit="1" customWidth="1"/>
    <col min="13" max="13" width="19.44140625" style="1" hidden="1" customWidth="1"/>
    <col min="14" max="14" width="11.109375" style="1" hidden="1" customWidth="1"/>
    <col min="15" max="15" width="11.5546875" style="1" bestFit="1" customWidth="1"/>
    <col min="16" max="16" width="12" style="1" bestFit="1" customWidth="1"/>
    <col min="17" max="17" width="12.44140625" style="1" bestFit="1" customWidth="1"/>
    <col min="18" max="18" width="11.5546875" style="1" bestFit="1" customWidth="1"/>
    <col min="19" max="19" width="11.88671875" style="1" bestFit="1" customWidth="1"/>
    <col min="20" max="20" width="12.5546875" style="1" bestFit="1" customWidth="1"/>
    <col min="21" max="21" width="13.88671875" style="1" customWidth="1"/>
    <col min="22" max="23" width="11.5546875" style="1" hidden="1" customWidth="1"/>
    <col min="24" max="24" width="11.5546875" style="1" bestFit="1" customWidth="1"/>
    <col min="25" max="16384" width="11.44140625" style="1"/>
  </cols>
  <sheetData>
    <row r="1" spans="1:25" x14ac:dyDescent="0.3">
      <c r="A1" s="1" t="s">
        <v>37</v>
      </c>
    </row>
    <row r="2" spans="1:25" ht="14.4" thickBot="1" x14ac:dyDescent="0.35"/>
    <row r="3" spans="1:25" ht="14.4" thickBot="1" x14ac:dyDescent="0.35">
      <c r="B3" s="157" t="s">
        <v>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9"/>
    </row>
    <row r="5" spans="1:25" ht="14.4" thickBot="1" x14ac:dyDescent="0.35">
      <c r="B5" s="1" t="s">
        <v>39</v>
      </c>
    </row>
    <row r="6" spans="1:25" ht="14.4" thickBot="1" x14ac:dyDescent="0.35">
      <c r="B6" s="152" t="s">
        <v>2</v>
      </c>
      <c r="C6" s="160" t="s">
        <v>3</v>
      </c>
      <c r="D6" s="161"/>
      <c r="E6" s="161"/>
      <c r="F6" s="161"/>
      <c r="G6" s="161"/>
      <c r="H6" s="161"/>
      <c r="I6" s="161"/>
      <c r="J6" s="162"/>
      <c r="K6" s="2"/>
      <c r="L6" s="160" t="s">
        <v>4</v>
      </c>
      <c r="M6" s="161"/>
      <c r="N6" s="161"/>
      <c r="O6" s="161"/>
      <c r="P6" s="161"/>
      <c r="Q6" s="161"/>
      <c r="R6" s="162"/>
      <c r="S6" s="163" t="s">
        <v>5</v>
      </c>
      <c r="T6" s="163"/>
      <c r="U6" s="164"/>
      <c r="V6" s="3"/>
      <c r="W6" s="3"/>
      <c r="X6" s="2"/>
    </row>
    <row r="7" spans="1:25" ht="72.599999999999994" thickBot="1" x14ac:dyDescent="0.35">
      <c r="B7" s="153"/>
      <c r="C7" s="4" t="s">
        <v>6</v>
      </c>
      <c r="D7" s="4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4" t="s">
        <v>13</v>
      </c>
      <c r="K7" s="6" t="s">
        <v>14</v>
      </c>
      <c r="L7" s="7" t="s">
        <v>15</v>
      </c>
      <c r="M7" s="8" t="s">
        <v>16</v>
      </c>
      <c r="N7" s="8" t="s">
        <v>17</v>
      </c>
      <c r="O7" s="9" t="s">
        <v>18</v>
      </c>
      <c r="P7" s="9" t="s">
        <v>19</v>
      </c>
      <c r="Q7" s="9" t="s">
        <v>20</v>
      </c>
      <c r="R7" s="10" t="s">
        <v>21</v>
      </c>
      <c r="S7" s="11" t="s">
        <v>22</v>
      </c>
      <c r="T7" s="11" t="s">
        <v>23</v>
      </c>
      <c r="U7" s="11" t="s">
        <v>24</v>
      </c>
      <c r="V7" s="12" t="s">
        <v>25</v>
      </c>
      <c r="W7" s="12" t="s">
        <v>26</v>
      </c>
      <c r="X7" s="12" t="s">
        <v>27</v>
      </c>
    </row>
    <row r="8" spans="1:25" ht="14.4" thickBot="1" x14ac:dyDescent="0.35">
      <c r="B8" s="71" t="s">
        <v>28</v>
      </c>
      <c r="C8" s="38">
        <v>303</v>
      </c>
      <c r="D8" s="39">
        <v>300</v>
      </c>
      <c r="E8" s="39">
        <v>298</v>
      </c>
      <c r="F8" s="39">
        <f>C8-D8</f>
        <v>3</v>
      </c>
      <c r="G8" s="40">
        <f>H8+J8</f>
        <v>134623133260</v>
      </c>
      <c r="H8" s="41">
        <f t="shared" ref="H8:H14" si="0">L8+S8</f>
        <v>130744693260</v>
      </c>
      <c r="I8" s="41">
        <v>96537673483</v>
      </c>
      <c r="J8" s="42">
        <v>3878440000</v>
      </c>
      <c r="K8" s="43">
        <v>129005303353.29001</v>
      </c>
      <c r="L8" s="44">
        <v>123950406337.12999</v>
      </c>
      <c r="M8" s="89">
        <v>123950406337.12999</v>
      </c>
      <c r="N8" s="13">
        <v>0</v>
      </c>
      <c r="O8" s="14">
        <f>L8/H8</f>
        <v>0.9480339373364941</v>
      </c>
      <c r="P8" s="14">
        <f>M8/I8</f>
        <v>1.2839589132936511</v>
      </c>
      <c r="Q8" s="41">
        <v>2042396639.0500002</v>
      </c>
      <c r="R8" s="15">
        <f>Q8/K8</f>
        <v>1.5831881216981869E-2</v>
      </c>
      <c r="S8" s="45">
        <f>T8+U8</f>
        <v>6794286922.8700104</v>
      </c>
      <c r="T8" s="41">
        <v>0</v>
      </c>
      <c r="U8" s="41">
        <f>33911717437+T22</f>
        <v>6794286922.8700104</v>
      </c>
      <c r="V8" s="46">
        <v>12</v>
      </c>
      <c r="W8" s="14" t="e">
        <f>V8/#REF!</f>
        <v>#REF!</v>
      </c>
      <c r="X8" s="47">
        <v>45868</v>
      </c>
    </row>
    <row r="9" spans="1:25" x14ac:dyDescent="0.3">
      <c r="B9" s="72" t="s">
        <v>29</v>
      </c>
      <c r="C9" s="48">
        <v>293</v>
      </c>
      <c r="D9" s="49">
        <v>287</v>
      </c>
      <c r="E9" s="49">
        <v>293</v>
      </c>
      <c r="F9" s="49">
        <f>C9-D9</f>
        <v>6</v>
      </c>
      <c r="G9" s="40">
        <f>H9+J9</f>
        <v>161583008605</v>
      </c>
      <c r="H9" s="51">
        <f t="shared" si="0"/>
        <v>156324308605</v>
      </c>
      <c r="I9" s="51">
        <v>78809116332.800003</v>
      </c>
      <c r="J9" s="52">
        <v>5258700000</v>
      </c>
      <c r="K9" s="53">
        <v>87540022112.959991</v>
      </c>
      <c r="L9" s="54">
        <f t="shared" ref="L9:L11" si="1">M9+N9</f>
        <v>72959102740.399994</v>
      </c>
      <c r="M9" s="90">
        <v>72959102740.399994</v>
      </c>
      <c r="N9" s="16">
        <v>0</v>
      </c>
      <c r="O9" s="17">
        <f t="shared" ref="O9:P13" si="2">L9/H9</f>
        <v>0.4667162989011065</v>
      </c>
      <c r="P9" s="17">
        <f>M9/I9</f>
        <v>0.92576983647810218</v>
      </c>
      <c r="Q9" s="51">
        <v>5279443660.96</v>
      </c>
      <c r="R9" s="18">
        <f t="shared" ref="R9:R12" si="3">Q9/K9</f>
        <v>6.0308913951923677E-2</v>
      </c>
      <c r="S9" s="55">
        <f t="shared" ref="S9:S14" si="4">T9+U9</f>
        <v>83365205864.600006</v>
      </c>
      <c r="T9" s="51">
        <f>+I9-L9</f>
        <v>5850013592.4000092</v>
      </c>
      <c r="U9" s="51">
        <v>77515192272.199997</v>
      </c>
      <c r="V9" s="56">
        <v>2</v>
      </c>
      <c r="W9" s="17" t="e">
        <f>V9/#REF!</f>
        <v>#REF!</v>
      </c>
      <c r="X9" s="47">
        <v>45868</v>
      </c>
    </row>
    <row r="10" spans="1:25" ht="14.4" thickBot="1" x14ac:dyDescent="0.35">
      <c r="A10" s="19"/>
      <c r="B10" s="72" t="s">
        <v>30</v>
      </c>
      <c r="C10" s="48">
        <v>312</v>
      </c>
      <c r="D10" s="49">
        <v>303</v>
      </c>
      <c r="E10" s="49">
        <v>311</v>
      </c>
      <c r="F10" s="49">
        <f>C10-D10</f>
        <v>9</v>
      </c>
      <c r="G10" s="50">
        <f t="shared" ref="G10:G14" si="5">H10+J10</f>
        <v>177140306869</v>
      </c>
      <c r="H10" s="51">
        <f t="shared" si="0"/>
        <v>171078116869</v>
      </c>
      <c r="I10" s="51">
        <v>58413715182</v>
      </c>
      <c r="J10" s="52">
        <v>6062190000</v>
      </c>
      <c r="K10" s="53">
        <v>58577474777</v>
      </c>
      <c r="L10" s="54">
        <f t="shared" si="1"/>
        <v>58194638405.139999</v>
      </c>
      <c r="M10" s="91">
        <v>58194638405.139999</v>
      </c>
      <c r="N10" s="16">
        <v>0</v>
      </c>
      <c r="O10" s="17">
        <f t="shared" si="2"/>
        <v>0.34016412776919625</v>
      </c>
      <c r="P10" s="17">
        <f t="shared" si="2"/>
        <v>0.9962495661134132</v>
      </c>
      <c r="Q10" s="51">
        <v>277042557</v>
      </c>
      <c r="R10" s="18">
        <f t="shared" si="3"/>
        <v>4.7295066585693558E-3</v>
      </c>
      <c r="S10" s="55">
        <f t="shared" si="4"/>
        <v>112883478463.86</v>
      </c>
      <c r="T10" s="51">
        <f>+I10-L10</f>
        <v>219076776.86000061</v>
      </c>
      <c r="U10" s="51">
        <v>112664401687</v>
      </c>
      <c r="V10" s="56">
        <v>11</v>
      </c>
      <c r="W10" s="17" t="e">
        <f>V10/#REF!</f>
        <v>#REF!</v>
      </c>
      <c r="X10" s="57">
        <v>45873</v>
      </c>
    </row>
    <row r="11" spans="1:25" ht="14.4" thickBot="1" x14ac:dyDescent="0.35">
      <c r="B11" s="72" t="s">
        <v>31</v>
      </c>
      <c r="C11" s="48">
        <v>231</v>
      </c>
      <c r="D11" s="49">
        <f>80+131</f>
        <v>211</v>
      </c>
      <c r="E11" s="49">
        <v>217</v>
      </c>
      <c r="F11" s="49">
        <f t="shared" ref="F11:F14" si="6">C11-D11</f>
        <v>20</v>
      </c>
      <c r="G11" s="50">
        <f>H11+J11</f>
        <v>138582156631</v>
      </c>
      <c r="H11" s="51">
        <f t="shared" si="0"/>
        <v>125054055731</v>
      </c>
      <c r="I11" s="51">
        <v>38477010494</v>
      </c>
      <c r="J11" s="52">
        <v>13528100900</v>
      </c>
      <c r="K11" s="53">
        <v>30877079224.419998</v>
      </c>
      <c r="L11" s="54">
        <f t="shared" si="1"/>
        <v>31100054562.630001</v>
      </c>
      <c r="M11" s="91">
        <v>31100054562.630001</v>
      </c>
      <c r="N11" s="16">
        <v>0</v>
      </c>
      <c r="O11" s="17">
        <f>L11/H11</f>
        <v>0.2486928902932056</v>
      </c>
      <c r="P11" s="17">
        <f t="shared" si="2"/>
        <v>0.80827627103409339</v>
      </c>
      <c r="Q11" s="51">
        <v>162730328</v>
      </c>
      <c r="R11" s="18">
        <f>Q11/K11</f>
        <v>5.2702629940237413E-3</v>
      </c>
      <c r="S11" s="55">
        <f t="shared" si="4"/>
        <v>93954001168.369995</v>
      </c>
      <c r="T11" s="51">
        <f t="shared" ref="T11:T13" si="7">+I11-L11</f>
        <v>7376955931.3699989</v>
      </c>
      <c r="U11" s="51">
        <v>86577045237</v>
      </c>
      <c r="V11" s="56">
        <v>9</v>
      </c>
      <c r="W11" s="17" t="e">
        <f>V11/#REF!</f>
        <v>#REF!</v>
      </c>
      <c r="X11" s="57">
        <v>45873</v>
      </c>
    </row>
    <row r="12" spans="1:25" ht="14.4" thickBot="1" x14ac:dyDescent="0.35">
      <c r="B12" s="72" t="s">
        <v>32</v>
      </c>
      <c r="C12" s="48">
        <v>237</v>
      </c>
      <c r="D12" s="49">
        <v>218</v>
      </c>
      <c r="E12" s="49">
        <v>225</v>
      </c>
      <c r="F12" s="49">
        <f t="shared" si="6"/>
        <v>19</v>
      </c>
      <c r="G12" s="50">
        <f>H12+J12</f>
        <v>175309003544</v>
      </c>
      <c r="H12" s="51">
        <f t="shared" si="0"/>
        <v>158435061144</v>
      </c>
      <c r="I12" s="51">
        <v>47765285687</v>
      </c>
      <c r="J12" s="52">
        <v>16873942400</v>
      </c>
      <c r="K12" s="53">
        <v>35136746995</v>
      </c>
      <c r="L12" s="54">
        <f>M12+N12</f>
        <v>35073011828.229996</v>
      </c>
      <c r="M12" s="91">
        <v>35073011828.229996</v>
      </c>
      <c r="N12" s="16">
        <v>0</v>
      </c>
      <c r="O12" s="17">
        <f t="shared" si="2"/>
        <v>0.22137152960323911</v>
      </c>
      <c r="P12" s="17">
        <f>M12/I12</f>
        <v>0.73427828021503105</v>
      </c>
      <c r="Q12" s="51">
        <v>238940079</v>
      </c>
      <c r="R12" s="18">
        <f t="shared" si="3"/>
        <v>6.8002902782662682E-3</v>
      </c>
      <c r="S12" s="55">
        <f t="shared" si="4"/>
        <v>123362049315.77</v>
      </c>
      <c r="T12" s="51">
        <f t="shared" si="7"/>
        <v>12692273858.770004</v>
      </c>
      <c r="U12" s="51">
        <v>110669775457</v>
      </c>
      <c r="V12" s="56">
        <v>6</v>
      </c>
      <c r="W12" s="17" t="e">
        <f>V12/#REF!</f>
        <v>#REF!</v>
      </c>
      <c r="X12" s="47">
        <v>45868</v>
      </c>
      <c r="Y12" s="20"/>
    </row>
    <row r="13" spans="1:25" ht="14.4" thickBot="1" x14ac:dyDescent="0.35">
      <c r="B13" s="72" t="s">
        <v>33</v>
      </c>
      <c r="C13" s="48">
        <v>151</v>
      </c>
      <c r="D13" s="49">
        <v>57</v>
      </c>
      <c r="E13" s="49">
        <v>111</v>
      </c>
      <c r="F13" s="49">
        <f t="shared" si="6"/>
        <v>94</v>
      </c>
      <c r="G13" s="50">
        <f t="shared" si="5"/>
        <v>123447854819</v>
      </c>
      <c r="H13" s="51">
        <f t="shared" si="0"/>
        <v>45312364819</v>
      </c>
      <c r="I13" s="51">
        <v>12977878329</v>
      </c>
      <c r="J13" s="52">
        <v>78135490000</v>
      </c>
      <c r="K13" s="53">
        <v>3471997863</v>
      </c>
      <c r="L13" s="54">
        <f>M13+N13</f>
        <v>3202508228.75</v>
      </c>
      <c r="M13" s="91">
        <v>3202508228.75</v>
      </c>
      <c r="N13" s="16">
        <v>0</v>
      </c>
      <c r="O13" s="17">
        <f>L13/H13</f>
        <v>7.0676254517776815E-2</v>
      </c>
      <c r="P13" s="17">
        <f t="shared" si="2"/>
        <v>0.2467667015797001</v>
      </c>
      <c r="Q13" s="51">
        <v>90590956</v>
      </c>
      <c r="R13" s="18">
        <f>Q13/K13</f>
        <v>2.6091881266805953E-2</v>
      </c>
      <c r="S13" s="55">
        <f t="shared" si="4"/>
        <v>42109856590.25</v>
      </c>
      <c r="T13" s="51">
        <f t="shared" si="7"/>
        <v>9775370100.25</v>
      </c>
      <c r="U13" s="51">
        <v>32334486490</v>
      </c>
      <c r="V13" s="56">
        <v>5</v>
      </c>
      <c r="W13" s="17" t="e">
        <f>V13/#REF!</f>
        <v>#REF!</v>
      </c>
      <c r="X13" s="47">
        <v>45867</v>
      </c>
      <c r="Y13" s="20"/>
    </row>
    <row r="14" spans="1:25" ht="14.4" thickBot="1" x14ac:dyDescent="0.35">
      <c r="B14" s="72" t="s">
        <v>34</v>
      </c>
      <c r="C14" s="58">
        <v>141</v>
      </c>
      <c r="D14" s="59">
        <v>130</v>
      </c>
      <c r="E14" s="59">
        <v>141</v>
      </c>
      <c r="F14" s="59">
        <f t="shared" si="6"/>
        <v>11</v>
      </c>
      <c r="G14" s="60">
        <f t="shared" si="5"/>
        <v>52632338936</v>
      </c>
      <c r="H14" s="61">
        <f t="shared" si="0"/>
        <v>48147637973</v>
      </c>
      <c r="I14" s="61">
        <v>16224879697</v>
      </c>
      <c r="J14" s="62">
        <v>4484700963</v>
      </c>
      <c r="K14" s="63">
        <v>16241467588</v>
      </c>
      <c r="L14" s="64">
        <v>15233067404.849998</v>
      </c>
      <c r="M14" s="92">
        <v>15254221420.849998</v>
      </c>
      <c r="N14" s="21">
        <v>0</v>
      </c>
      <c r="O14" s="22">
        <f>L14/H14</f>
        <v>0.31638244462568077</v>
      </c>
      <c r="P14" s="22">
        <f>M14/I14</f>
        <v>0.94017470118256241</v>
      </c>
      <c r="Q14" s="61">
        <v>0</v>
      </c>
      <c r="R14" s="23">
        <f>Q14/K14</f>
        <v>0</v>
      </c>
      <c r="S14" s="65">
        <f t="shared" si="4"/>
        <v>32914570568.150002</v>
      </c>
      <c r="T14" s="61">
        <f>+I14-L14</f>
        <v>991812292.15000153</v>
      </c>
      <c r="U14" s="61">
        <v>31922758276</v>
      </c>
      <c r="V14" s="66">
        <v>0</v>
      </c>
      <c r="W14" s="22" t="e">
        <f>V14/#REF!</f>
        <v>#REF!</v>
      </c>
      <c r="X14" s="47">
        <v>45867</v>
      </c>
      <c r="Y14" s="20"/>
    </row>
    <row r="15" spans="1:25" ht="14.4" thickBot="1" x14ac:dyDescent="0.35"/>
    <row r="16" spans="1:25" ht="14.4" thickBot="1" x14ac:dyDescent="0.35">
      <c r="B16" s="73" t="s">
        <v>35</v>
      </c>
      <c r="C16" s="24">
        <f t="shared" ref="C16:N16" si="8">SUM(C8:C14)</f>
        <v>1668</v>
      </c>
      <c r="D16" s="25">
        <f t="shared" si="8"/>
        <v>1506</v>
      </c>
      <c r="E16" s="25">
        <f>SUM(E8:E14)</f>
        <v>1596</v>
      </c>
      <c r="F16" s="25">
        <f t="shared" si="8"/>
        <v>162</v>
      </c>
      <c r="G16" s="26">
        <f t="shared" si="8"/>
        <v>963317802664</v>
      </c>
      <c r="H16" s="26">
        <f>SUM(H8:H14)</f>
        <v>835096238401</v>
      </c>
      <c r="I16" s="26">
        <f t="shared" si="8"/>
        <v>349205559204.79999</v>
      </c>
      <c r="J16" s="26">
        <f t="shared" si="8"/>
        <v>128221564263</v>
      </c>
      <c r="K16" s="26">
        <f t="shared" si="8"/>
        <v>360850091913.66998</v>
      </c>
      <c r="L16" s="26">
        <f t="shared" si="8"/>
        <v>339712789507.12994</v>
      </c>
      <c r="M16" s="27">
        <f t="shared" si="8"/>
        <v>339733943523.12994</v>
      </c>
      <c r="N16" s="28">
        <f t="shared" si="8"/>
        <v>0</v>
      </c>
      <c r="O16" s="29">
        <f>L16/H16</f>
        <v>0.40679477871627684</v>
      </c>
      <c r="P16" s="29">
        <f>M16/I16</f>
        <v>0.97287667555110369</v>
      </c>
      <c r="Q16" s="26">
        <f>SUM(Q8:Q14)</f>
        <v>8091144220.0100002</v>
      </c>
      <c r="R16" s="29">
        <f>+Q16/K16</f>
        <v>2.2422452983455885E-2</v>
      </c>
      <c r="S16" s="26">
        <f>SUM(S8:S14)</f>
        <v>495383448893.87006</v>
      </c>
      <c r="T16" s="26">
        <f>SUM(T8:T14)</f>
        <v>36905502551.800011</v>
      </c>
      <c r="U16" s="26">
        <f>SUM(U8:U14)</f>
        <v>458477946342.07001</v>
      </c>
      <c r="V16" s="30">
        <f>SUM(V8:V14)</f>
        <v>45</v>
      </c>
      <c r="W16" s="30"/>
      <c r="X16" s="31"/>
    </row>
    <row r="17" spans="2:22" x14ac:dyDescent="0.3">
      <c r="C17" s="32">
        <v>1668</v>
      </c>
      <c r="D17" s="33">
        <v>1474</v>
      </c>
      <c r="E17" s="33">
        <v>1614</v>
      </c>
      <c r="F17" s="33">
        <v>194</v>
      </c>
      <c r="G17" s="33">
        <v>960759944927</v>
      </c>
      <c r="H17" s="33">
        <v>813238230260</v>
      </c>
      <c r="I17" s="33">
        <v>340621780459.79999</v>
      </c>
      <c r="J17" s="33">
        <v>147509252996</v>
      </c>
      <c r="K17" s="33">
        <v>340845224730.34998</v>
      </c>
      <c r="L17" s="33">
        <v>331520655761.35004</v>
      </c>
      <c r="M17" s="33">
        <v>331520655761.35004</v>
      </c>
      <c r="N17" s="33">
        <v>0</v>
      </c>
      <c r="O17" s="33">
        <v>0.40765503074709086</v>
      </c>
      <c r="P17" s="33">
        <v>0.97328084925701319</v>
      </c>
      <c r="Q17" s="33">
        <v>9510930792.6599998</v>
      </c>
      <c r="R17" s="33">
        <v>2.790395787467553E-2</v>
      </c>
      <c r="S17" s="34">
        <v>481717574498.64996</v>
      </c>
      <c r="T17" s="34">
        <v>33049538118.449997</v>
      </c>
      <c r="U17" s="34">
        <v>448668036380.20001</v>
      </c>
      <c r="V17" s="1">
        <v>45</v>
      </c>
    </row>
    <row r="18" spans="2:22" ht="14.4" thickBot="1" x14ac:dyDescent="0.35">
      <c r="H18" s="35"/>
      <c r="J18" s="36"/>
    </row>
    <row r="19" spans="2:22" ht="14.4" thickBot="1" x14ac:dyDescent="0.35">
      <c r="B19" s="73" t="s">
        <v>36</v>
      </c>
      <c r="C19" s="24">
        <f>+C16-C17</f>
        <v>0</v>
      </c>
      <c r="D19" s="25">
        <f>+D16-D17</f>
        <v>32</v>
      </c>
      <c r="E19" s="25">
        <f t="shared" ref="E19:U19" si="9">+E16-E17</f>
        <v>-18</v>
      </c>
      <c r="F19" s="25">
        <f>+F16-F17</f>
        <v>-32</v>
      </c>
      <c r="G19" s="26">
        <f>+G16-G17</f>
        <v>2557857737</v>
      </c>
      <c r="H19" s="26">
        <f t="shared" si="9"/>
        <v>21858008141</v>
      </c>
      <c r="I19" s="26">
        <f t="shared" si="9"/>
        <v>8583778745</v>
      </c>
      <c r="J19" s="26">
        <f>+J16-J17</f>
        <v>-19287688733</v>
      </c>
      <c r="K19" s="26">
        <f t="shared" si="9"/>
        <v>20004867183.320007</v>
      </c>
      <c r="L19" s="26">
        <f>+L16-L17</f>
        <v>8192133745.7799072</v>
      </c>
      <c r="M19" s="27">
        <f t="shared" si="9"/>
        <v>8213287761.7799072</v>
      </c>
      <c r="N19" s="28">
        <f t="shared" si="9"/>
        <v>0</v>
      </c>
      <c r="O19" s="29">
        <f t="shared" si="9"/>
        <v>-8.6025203081402379E-4</v>
      </c>
      <c r="P19" s="29">
        <f t="shared" si="9"/>
        <v>-4.0417370590950519E-4</v>
      </c>
      <c r="Q19" s="26">
        <f t="shared" si="9"/>
        <v>-1419786572.6499996</v>
      </c>
      <c r="R19" s="29">
        <f t="shared" si="9"/>
        <v>-5.4815048912196448E-3</v>
      </c>
      <c r="S19" s="26">
        <f t="shared" si="9"/>
        <v>13665874395.220093</v>
      </c>
      <c r="T19" s="26">
        <f t="shared" si="9"/>
        <v>3855964433.3500137</v>
      </c>
      <c r="U19" s="37">
        <f t="shared" si="9"/>
        <v>9809909961.8699951</v>
      </c>
    </row>
    <row r="21" spans="2:22" x14ac:dyDescent="0.3">
      <c r="T21" s="74"/>
    </row>
    <row r="22" spans="2:22" x14ac:dyDescent="0.3">
      <c r="T22" s="33">
        <v>-27117430514.12999</v>
      </c>
    </row>
  </sheetData>
  <mergeCells count="5">
    <mergeCell ref="B3:X3"/>
    <mergeCell ref="B6:B7"/>
    <mergeCell ref="C6:J6"/>
    <mergeCell ref="L6:R6"/>
    <mergeCell ref="S6:U6"/>
  </mergeCells>
  <conditionalFormatting sqref="B8:L14">
    <cfRule type="containsText" dxfId="117" priority="1" operator="containsText" text="Proyecto">
      <formula>NOT(ISERROR(SEARCH("Proyecto",B8)))</formula>
    </cfRule>
    <cfRule type="expression" dxfId="116" priority="2">
      <formula>#REF!="Total"</formula>
    </cfRule>
  </conditionalFormatting>
  <conditionalFormatting sqref="G16:M16 O16:X16">
    <cfRule type="containsText" dxfId="115" priority="9" operator="containsText" text="Proyecto">
      <formula>NOT(ISERROR(SEARCH("Proyecto",G16)))</formula>
    </cfRule>
  </conditionalFormatting>
  <conditionalFormatting sqref="G19:M19 O19:U19">
    <cfRule type="containsText" dxfId="114" priority="7" operator="containsText" text="Proyecto">
      <formula>NOT(ISERROR(SEARCH("Proyecto",G19)))</formula>
    </cfRule>
    <cfRule type="expression" dxfId="113" priority="8">
      <formula>#REF!="Total"</formula>
    </cfRule>
  </conditionalFormatting>
  <conditionalFormatting sqref="Q8:Q14 G16:M16 O16:X16">
    <cfRule type="expression" dxfId="112" priority="11">
      <formula>#REF!="Total"</formula>
    </cfRule>
  </conditionalFormatting>
  <conditionalFormatting sqref="Q8:Q14">
    <cfRule type="containsText" dxfId="111" priority="10" operator="containsText" text="Proyecto">
      <formula>NOT(ISERROR(SEARCH("Proyecto",Q8)))</formula>
    </cfRule>
  </conditionalFormatting>
  <conditionalFormatting sqref="S17:U17">
    <cfRule type="containsText" dxfId="110" priority="5" operator="containsText" text="Proyecto">
      <formula>NOT(ISERROR(SEARCH("Proyecto",S17)))</formula>
    </cfRule>
    <cfRule type="expression" dxfId="109" priority="6">
      <formula>#REF!="Total"</formula>
    </cfRule>
  </conditionalFormatting>
  <conditionalFormatting sqref="S8:W14">
    <cfRule type="containsText" dxfId="108" priority="3" operator="containsText" text="Proyecto">
      <formula>NOT(ISERROR(SEARCH("Proyecto",S8)))</formula>
    </cfRule>
    <cfRule type="expression" dxfId="107" priority="4">
      <formula>#REF!="Total"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C2C2-0680-4F9E-8A31-DD27FCB810E7}">
  <dimension ref="A1:Y46"/>
  <sheetViews>
    <sheetView topLeftCell="A5" workbookViewId="0">
      <selection activeCell="F19" sqref="F19"/>
    </sheetView>
  </sheetViews>
  <sheetFormatPr baseColWidth="10" defaultColWidth="11.44140625" defaultRowHeight="13.8" x14ac:dyDescent="0.3"/>
  <cols>
    <col min="1" max="1" width="2.44140625" style="1" customWidth="1"/>
    <col min="2" max="2" width="32.44140625" style="1" customWidth="1"/>
    <col min="3" max="3" width="10" style="1" customWidth="1"/>
    <col min="4" max="4" width="9.88671875" style="1" customWidth="1"/>
    <col min="5" max="5" width="9.6640625" style="1" customWidth="1"/>
    <col min="6" max="6" width="7.6640625" style="1" customWidth="1"/>
    <col min="7" max="7" width="13.109375" style="1" customWidth="1"/>
    <col min="8" max="8" width="12.109375" style="1" customWidth="1"/>
    <col min="9" max="9" width="13.5546875" style="1" bestFit="1" customWidth="1"/>
    <col min="10" max="10" width="13.6640625" style="1" customWidth="1"/>
    <col min="11" max="11" width="12.5546875" style="1" customWidth="1"/>
    <col min="12" max="12" width="12.33203125" style="1" bestFit="1" customWidth="1"/>
    <col min="13" max="13" width="18.33203125" style="1" hidden="1" customWidth="1"/>
    <col min="14" max="14" width="16.88671875" style="1" hidden="1" customWidth="1"/>
    <col min="15" max="15" width="11.5546875" style="1" bestFit="1" customWidth="1"/>
    <col min="16" max="16" width="12" style="1" bestFit="1" customWidth="1"/>
    <col min="17" max="17" width="12.44140625" style="1" bestFit="1" customWidth="1"/>
    <col min="18" max="19" width="11.88671875" style="1" bestFit="1" customWidth="1"/>
    <col min="20" max="20" width="12.5546875" style="1" bestFit="1" customWidth="1"/>
    <col min="21" max="21" width="13.88671875" style="1" customWidth="1"/>
    <col min="22" max="23" width="11.5546875" style="1" hidden="1" customWidth="1"/>
    <col min="24" max="24" width="11.5546875" style="1" bestFit="1" customWidth="1"/>
    <col min="25" max="16384" width="11.44140625" style="1"/>
  </cols>
  <sheetData>
    <row r="1" spans="1:25" x14ac:dyDescent="0.3">
      <c r="A1" s="1" t="s">
        <v>37</v>
      </c>
    </row>
    <row r="2" spans="1:25" ht="14.4" thickBot="1" x14ac:dyDescent="0.35"/>
    <row r="3" spans="1:25" ht="14.4" thickBot="1" x14ac:dyDescent="0.35">
      <c r="B3" s="157" t="s">
        <v>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9"/>
    </row>
    <row r="4" spans="1:25" x14ac:dyDescent="0.3">
      <c r="K4" s="94"/>
    </row>
    <row r="5" spans="1:25" ht="14.4" thickBot="1" x14ac:dyDescent="0.35">
      <c r="B5" s="1" t="s">
        <v>40</v>
      </c>
    </row>
    <row r="6" spans="1:25" ht="14.4" thickBot="1" x14ac:dyDescent="0.35">
      <c r="B6" s="152" t="s">
        <v>2</v>
      </c>
      <c r="C6" s="160" t="s">
        <v>3</v>
      </c>
      <c r="D6" s="161"/>
      <c r="E6" s="161"/>
      <c r="F6" s="161"/>
      <c r="G6" s="161"/>
      <c r="H6" s="161"/>
      <c r="I6" s="161"/>
      <c r="J6" s="162"/>
      <c r="K6" s="2"/>
      <c r="L6" s="160" t="s">
        <v>4</v>
      </c>
      <c r="M6" s="161"/>
      <c r="N6" s="161"/>
      <c r="O6" s="161"/>
      <c r="P6" s="161"/>
      <c r="Q6" s="161"/>
      <c r="R6" s="162"/>
      <c r="S6" s="163" t="s">
        <v>5</v>
      </c>
      <c r="T6" s="163"/>
      <c r="U6" s="164"/>
      <c r="V6" s="3"/>
      <c r="W6" s="3"/>
      <c r="X6" s="2"/>
    </row>
    <row r="7" spans="1:25" ht="84.6" thickBot="1" x14ac:dyDescent="0.35">
      <c r="B7" s="153"/>
      <c r="C7" s="4" t="s">
        <v>6</v>
      </c>
      <c r="D7" s="4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4" t="s">
        <v>13</v>
      </c>
      <c r="K7" s="6" t="s">
        <v>14</v>
      </c>
      <c r="L7" s="7" t="s">
        <v>15</v>
      </c>
      <c r="M7" s="8" t="s">
        <v>16</v>
      </c>
      <c r="N7" s="8" t="s">
        <v>17</v>
      </c>
      <c r="O7" s="9" t="s">
        <v>18</v>
      </c>
      <c r="P7" s="9" t="s">
        <v>19</v>
      </c>
      <c r="Q7" s="9" t="s">
        <v>20</v>
      </c>
      <c r="R7" s="10" t="s">
        <v>21</v>
      </c>
      <c r="S7" s="11" t="s">
        <v>22</v>
      </c>
      <c r="T7" s="11" t="s">
        <v>23</v>
      </c>
      <c r="U7" s="11" t="s">
        <v>24</v>
      </c>
      <c r="V7" s="12" t="s">
        <v>25</v>
      </c>
      <c r="W7" s="12" t="s">
        <v>26</v>
      </c>
      <c r="X7" s="12" t="s">
        <v>27</v>
      </c>
    </row>
    <row r="8" spans="1:25" ht="14.4" thickBot="1" x14ac:dyDescent="0.35">
      <c r="B8" s="71" t="s">
        <v>28</v>
      </c>
      <c r="C8" s="38">
        <v>303</v>
      </c>
      <c r="D8" s="39">
        <v>301</v>
      </c>
      <c r="E8" s="39">
        <v>299</v>
      </c>
      <c r="F8" s="39">
        <f>C8-D8</f>
        <v>2</v>
      </c>
      <c r="G8" s="40">
        <f>H8+J8</f>
        <v>134797751154.42</v>
      </c>
      <c r="H8" s="41">
        <f t="shared" ref="H8:H14" si="0">L8+S8</f>
        <v>131756311154.42</v>
      </c>
      <c r="I8" s="41">
        <v>99653142084</v>
      </c>
      <c r="J8" s="42">
        <v>3041440000</v>
      </c>
      <c r="K8" s="53">
        <v>130807487388</v>
      </c>
      <c r="L8" s="54">
        <f t="shared" ref="L8:L11" si="1">M8+N8</f>
        <v>124679312515.61</v>
      </c>
      <c r="M8" s="89">
        <v>124679312515.61</v>
      </c>
      <c r="N8" s="13">
        <v>0</v>
      </c>
      <c r="O8" s="14">
        <f>L8/H8</f>
        <v>0.94628721328942134</v>
      </c>
      <c r="P8" s="14">
        <f>M8/I8</f>
        <v>1.251132778237086</v>
      </c>
      <c r="Q8" s="41">
        <v>286234713.04999995</v>
      </c>
      <c r="R8" s="93">
        <f>Q8/K8</f>
        <v>2.188213524818905E-3</v>
      </c>
      <c r="S8" s="45">
        <f>T8+U8</f>
        <v>7076998638.8100014</v>
      </c>
      <c r="T8" s="41">
        <v>0</v>
      </c>
      <c r="U8" s="41">
        <f>33911717437+T22</f>
        <v>7076998638.8100014</v>
      </c>
      <c r="V8" s="46">
        <v>12</v>
      </c>
      <c r="W8" s="14" t="e">
        <f>V8/#REF!</f>
        <v>#REF!</v>
      </c>
      <c r="X8" s="47">
        <v>45899</v>
      </c>
    </row>
    <row r="9" spans="1:25" x14ac:dyDescent="0.3">
      <c r="B9" s="72" t="s">
        <v>29</v>
      </c>
      <c r="C9" s="48">
        <v>293</v>
      </c>
      <c r="D9" s="49">
        <v>286</v>
      </c>
      <c r="E9" s="49">
        <v>291</v>
      </c>
      <c r="F9" s="49">
        <f>C9-D9</f>
        <v>7</v>
      </c>
      <c r="G9" s="40">
        <f>H9+J9</f>
        <v>161068973044</v>
      </c>
      <c r="H9" s="51">
        <f t="shared" si="0"/>
        <v>155616273044</v>
      </c>
      <c r="I9" s="51">
        <v>81750153640.800003</v>
      </c>
      <c r="J9" s="52">
        <v>5452700000</v>
      </c>
      <c r="K9" s="53">
        <v>89627253971.070007</v>
      </c>
      <c r="L9" s="54">
        <f t="shared" si="1"/>
        <v>78441980632.62001</v>
      </c>
      <c r="M9" s="90">
        <v>78441980632.62001</v>
      </c>
      <c r="N9" s="16">
        <v>0</v>
      </c>
      <c r="O9" s="17">
        <f t="shared" ref="O9:P13" si="2">L9/H9</f>
        <v>0.50407312229127088</v>
      </c>
      <c r="P9" s="17">
        <f>M9/I9</f>
        <v>0.9595331279410716</v>
      </c>
      <c r="Q9" s="51">
        <v>10743067611.27</v>
      </c>
      <c r="R9" s="18">
        <f t="shared" ref="R9:R12" si="3">Q9/K9</f>
        <v>0.11986384872103369</v>
      </c>
      <c r="S9" s="55">
        <f t="shared" ref="S9:S14" si="4">T9+U9</f>
        <v>77174292411.37999</v>
      </c>
      <c r="T9" s="51">
        <f>+I9-L9</f>
        <v>3308173008.1799927</v>
      </c>
      <c r="U9" s="51">
        <v>73866119403.199997</v>
      </c>
      <c r="V9" s="56">
        <v>2</v>
      </c>
      <c r="W9" s="17" t="e">
        <f>V9/#REF!</f>
        <v>#REF!</v>
      </c>
      <c r="X9" s="47">
        <v>45899</v>
      </c>
    </row>
    <row r="10" spans="1:25" ht="14.4" thickBot="1" x14ac:dyDescent="0.35">
      <c r="A10" s="19"/>
      <c r="B10" s="72" t="s">
        <v>30</v>
      </c>
      <c r="C10" s="48">
        <v>312</v>
      </c>
      <c r="D10" s="49">
        <v>303</v>
      </c>
      <c r="E10" s="49">
        <v>311</v>
      </c>
      <c r="F10" s="49">
        <v>9</v>
      </c>
      <c r="G10" s="50">
        <f t="shared" ref="G10:G14" si="5">H10+J10</f>
        <v>177130349884</v>
      </c>
      <c r="H10" s="51">
        <f t="shared" si="0"/>
        <v>171068159884</v>
      </c>
      <c r="I10" s="51">
        <v>58881772291</v>
      </c>
      <c r="J10" s="52">
        <v>6062190000</v>
      </c>
      <c r="K10" s="53">
        <v>59284968566</v>
      </c>
      <c r="L10" s="54">
        <f t="shared" si="1"/>
        <v>58618039527.139999</v>
      </c>
      <c r="M10" s="91">
        <v>58618039527.139999</v>
      </c>
      <c r="N10" s="16">
        <v>0</v>
      </c>
      <c r="O10" s="17">
        <f t="shared" si="2"/>
        <v>0.3426589703594663</v>
      </c>
      <c r="P10" s="17">
        <f t="shared" si="2"/>
        <v>0.99552097782389082</v>
      </c>
      <c r="Q10" s="51">
        <v>248593351</v>
      </c>
      <c r="R10" s="18">
        <f t="shared" si="3"/>
        <v>4.1931936039275993E-3</v>
      </c>
      <c r="S10" s="55">
        <f t="shared" si="4"/>
        <v>112450120356.86</v>
      </c>
      <c r="T10" s="51">
        <f>+I10-L10</f>
        <v>263732763.86000061</v>
      </c>
      <c r="U10" s="51">
        <v>112186387593</v>
      </c>
      <c r="V10" s="56">
        <v>11</v>
      </c>
      <c r="W10" s="17" t="e">
        <f>V10/#REF!</f>
        <v>#REF!</v>
      </c>
      <c r="X10" s="57">
        <v>45897</v>
      </c>
    </row>
    <row r="11" spans="1:25" ht="14.4" thickBot="1" x14ac:dyDescent="0.35">
      <c r="B11" s="72" t="s">
        <v>31</v>
      </c>
      <c r="C11" s="48">
        <v>231</v>
      </c>
      <c r="D11" s="49">
        <v>207</v>
      </c>
      <c r="E11" s="49">
        <v>215</v>
      </c>
      <c r="F11" s="49">
        <v>24</v>
      </c>
      <c r="G11" s="50">
        <f>H11+J11</f>
        <v>138934583381</v>
      </c>
      <c r="H11" s="51">
        <f t="shared" si="0"/>
        <v>121919683381</v>
      </c>
      <c r="I11" s="51">
        <v>37572004629</v>
      </c>
      <c r="J11" s="52">
        <v>17014900000</v>
      </c>
      <c r="K11" s="53">
        <v>30354910918</v>
      </c>
      <c r="L11" s="54">
        <f t="shared" si="1"/>
        <v>30895801480.630001</v>
      </c>
      <c r="M11" s="91">
        <v>30895801480.630001</v>
      </c>
      <c r="N11" s="16">
        <v>0</v>
      </c>
      <c r="O11" s="17">
        <f>L11/H11</f>
        <v>0.25341110330872801</v>
      </c>
      <c r="P11" s="17">
        <f t="shared" si="2"/>
        <v>0.82230910449699657</v>
      </c>
      <c r="Q11" s="51">
        <v>225425337</v>
      </c>
      <c r="R11" s="18">
        <f>Q11/K11</f>
        <v>7.4263218102981225E-3</v>
      </c>
      <c r="S11" s="55">
        <f t="shared" si="4"/>
        <v>91023881900.369995</v>
      </c>
      <c r="T11" s="51">
        <f t="shared" ref="T11:T13" si="6">+I11-L11</f>
        <v>6676203148.3699989</v>
      </c>
      <c r="U11" s="51">
        <v>84347678752</v>
      </c>
      <c r="V11" s="56">
        <v>9</v>
      </c>
      <c r="W11" s="17" t="e">
        <f>V11/#REF!</f>
        <v>#REF!</v>
      </c>
      <c r="X11" s="57">
        <v>45897</v>
      </c>
    </row>
    <row r="12" spans="1:25" ht="14.4" thickBot="1" x14ac:dyDescent="0.35">
      <c r="B12" s="72" t="s">
        <v>32</v>
      </c>
      <c r="C12" s="48">
        <v>237</v>
      </c>
      <c r="D12" s="49">
        <v>220</v>
      </c>
      <c r="E12" s="49">
        <v>227</v>
      </c>
      <c r="F12" s="49">
        <v>17</v>
      </c>
      <c r="G12" s="50">
        <f>H12+J12</f>
        <v>175383537144</v>
      </c>
      <c r="H12" s="51">
        <f t="shared" si="0"/>
        <v>160035216744</v>
      </c>
      <c r="I12" s="51">
        <v>48337083256</v>
      </c>
      <c r="J12" s="52">
        <v>15348320400</v>
      </c>
      <c r="K12" s="53">
        <v>36364737483</v>
      </c>
      <c r="L12" s="54">
        <f>M12+N12</f>
        <v>35856455850.229996</v>
      </c>
      <c r="M12" s="91">
        <v>35856455850.229996</v>
      </c>
      <c r="N12" s="16">
        <v>0</v>
      </c>
      <c r="O12" s="17">
        <f t="shared" si="2"/>
        <v>0.22405353383929053</v>
      </c>
      <c r="P12" s="17">
        <f>M12/I12</f>
        <v>0.74180015497271845</v>
      </c>
      <c r="Q12" s="51">
        <v>244578132</v>
      </c>
      <c r="R12" s="18">
        <f t="shared" si="3"/>
        <v>6.725694970693431E-3</v>
      </c>
      <c r="S12" s="55">
        <f t="shared" si="4"/>
        <v>124178760893.77</v>
      </c>
      <c r="T12" s="51">
        <f t="shared" si="6"/>
        <v>12480627405.770004</v>
      </c>
      <c r="U12" s="51">
        <v>111698133488</v>
      </c>
      <c r="V12" s="56">
        <v>6</v>
      </c>
      <c r="W12" s="17" t="e">
        <f>V12/#REF!</f>
        <v>#REF!</v>
      </c>
      <c r="X12" s="47">
        <v>45899</v>
      </c>
      <c r="Y12" s="20"/>
    </row>
    <row r="13" spans="1:25" ht="14.4" thickBot="1" x14ac:dyDescent="0.35">
      <c r="B13" s="72" t="s">
        <v>33</v>
      </c>
      <c r="C13" s="48">
        <v>151</v>
      </c>
      <c r="D13" s="49">
        <v>65</v>
      </c>
      <c r="E13" s="49">
        <v>107</v>
      </c>
      <c r="F13" s="49">
        <v>86</v>
      </c>
      <c r="G13" s="50">
        <f t="shared" si="5"/>
        <v>123550921010</v>
      </c>
      <c r="H13" s="51">
        <f t="shared" si="0"/>
        <v>50333021010</v>
      </c>
      <c r="I13" s="51">
        <v>14008322556</v>
      </c>
      <c r="J13" s="52">
        <v>73217900000</v>
      </c>
      <c r="K13" s="53">
        <v>3961310394</v>
      </c>
      <c r="L13" s="54">
        <f>M13+N13</f>
        <v>3534755560.75</v>
      </c>
      <c r="M13" s="91">
        <v>3534755560.75</v>
      </c>
      <c r="N13" s="16">
        <v>0</v>
      </c>
      <c r="O13" s="17">
        <f>L13/H13</f>
        <v>7.0227367438320989E-2</v>
      </c>
      <c r="P13" s="17">
        <f t="shared" si="2"/>
        <v>0.25233253636324965</v>
      </c>
      <c r="Q13" s="51">
        <v>143481546</v>
      </c>
      <c r="R13" s="18">
        <f>Q13/K13</f>
        <v>3.6220727923094428E-2</v>
      </c>
      <c r="S13" s="55">
        <f t="shared" si="4"/>
        <v>46798265449.25</v>
      </c>
      <c r="T13" s="51">
        <f t="shared" si="6"/>
        <v>10473566995.25</v>
      </c>
      <c r="U13" s="51">
        <v>36324698454</v>
      </c>
      <c r="V13" s="56">
        <v>5</v>
      </c>
      <c r="W13" s="17" t="e">
        <f>V13/#REF!</f>
        <v>#REF!</v>
      </c>
      <c r="X13" s="47">
        <v>45899</v>
      </c>
      <c r="Y13" s="20"/>
    </row>
    <row r="14" spans="1:25" ht="14.4" thickBot="1" x14ac:dyDescent="0.35">
      <c r="B14" s="72" t="s">
        <v>34</v>
      </c>
      <c r="C14" s="58">
        <v>263</v>
      </c>
      <c r="D14" s="59">
        <v>130</v>
      </c>
      <c r="E14" s="59">
        <v>261</v>
      </c>
      <c r="F14" s="59">
        <v>133</v>
      </c>
      <c r="G14" s="60">
        <f t="shared" si="5"/>
        <v>117011637973</v>
      </c>
      <c r="H14" s="61">
        <f t="shared" si="0"/>
        <v>48147637973</v>
      </c>
      <c r="I14" s="61">
        <v>16224879697</v>
      </c>
      <c r="J14" s="62">
        <v>68864000000</v>
      </c>
      <c r="K14" s="63">
        <v>16293076182</v>
      </c>
      <c r="L14" s="64">
        <v>15233067404.849998</v>
      </c>
      <c r="M14" s="92">
        <v>15305720956.849998</v>
      </c>
      <c r="N14" s="21">
        <v>0</v>
      </c>
      <c r="O14" s="22">
        <f>L14/H14</f>
        <v>0.31638244462568077</v>
      </c>
      <c r="P14" s="22">
        <f>M14/I14</f>
        <v>0.9433488101412576</v>
      </c>
      <c r="Q14" s="61">
        <v>972806768</v>
      </c>
      <c r="R14" s="23">
        <f>Q14/K14</f>
        <v>5.9706758695127302E-2</v>
      </c>
      <c r="S14" s="65">
        <f t="shared" si="4"/>
        <v>32914570568.150002</v>
      </c>
      <c r="T14" s="61">
        <f>+I14-L14</f>
        <v>991812292.15000153</v>
      </c>
      <c r="U14" s="61">
        <v>31922758276</v>
      </c>
      <c r="V14" s="66">
        <v>0</v>
      </c>
      <c r="W14" s="22" t="e">
        <f>V14/#REF!</f>
        <v>#REF!</v>
      </c>
      <c r="X14" s="47">
        <v>45899</v>
      </c>
      <c r="Y14" s="20"/>
    </row>
    <row r="15" spans="1:25" ht="14.4" thickBot="1" x14ac:dyDescent="0.35"/>
    <row r="16" spans="1:25" ht="14.4" thickBot="1" x14ac:dyDescent="0.35">
      <c r="B16" s="73" t="s">
        <v>35</v>
      </c>
      <c r="C16" s="24">
        <f t="shared" ref="C16:N16" si="7">SUM(C8:C14)</f>
        <v>1790</v>
      </c>
      <c r="D16" s="25">
        <f t="shared" si="7"/>
        <v>1512</v>
      </c>
      <c r="E16" s="25">
        <f>SUM(E8:E14)</f>
        <v>1711</v>
      </c>
      <c r="F16" s="25">
        <f t="shared" si="7"/>
        <v>278</v>
      </c>
      <c r="G16" s="26">
        <f t="shared" si="7"/>
        <v>1027877753590.4199</v>
      </c>
      <c r="H16" s="26">
        <f>SUM(H8:H14)</f>
        <v>838876303190.41992</v>
      </c>
      <c r="I16" s="26">
        <f t="shared" si="7"/>
        <v>356427358153.79999</v>
      </c>
      <c r="J16" s="26">
        <f t="shared" si="7"/>
        <v>189001450400</v>
      </c>
      <c r="K16" s="26">
        <f t="shared" si="7"/>
        <v>366693744902.07001</v>
      </c>
      <c r="L16" s="26">
        <f t="shared" si="7"/>
        <v>347259412971.82996</v>
      </c>
      <c r="M16" s="27">
        <f t="shared" si="7"/>
        <v>347332066523.82996</v>
      </c>
      <c r="N16" s="28">
        <f t="shared" si="7"/>
        <v>0</v>
      </c>
      <c r="O16" s="29">
        <f>L16/H16</f>
        <v>0.41395782864664393</v>
      </c>
      <c r="P16" s="29">
        <f>M16/I16</f>
        <v>0.97448206086906108</v>
      </c>
      <c r="Q16" s="26">
        <f>SUM(Q8:Q14)</f>
        <v>12864187458.32</v>
      </c>
      <c r="R16" s="29">
        <f>+Q16/K16</f>
        <v>3.5081556849996275E-2</v>
      </c>
      <c r="S16" s="26">
        <f>SUM(S8:S14)</f>
        <v>491616890218.59003</v>
      </c>
      <c r="T16" s="26">
        <f>SUM(T8:T14)</f>
        <v>34194115613.579998</v>
      </c>
      <c r="U16" s="26">
        <f>SUM(U8:U14)</f>
        <v>457422774605.01001</v>
      </c>
      <c r="V16" s="30">
        <f>SUM(V8:V14)</f>
        <v>45</v>
      </c>
      <c r="W16" s="30"/>
      <c r="X16" s="31"/>
    </row>
    <row r="17" spans="2:22" x14ac:dyDescent="0.3">
      <c r="C17" s="32">
        <v>1668</v>
      </c>
      <c r="D17" s="33">
        <v>1506</v>
      </c>
      <c r="E17" s="33">
        <v>1596</v>
      </c>
      <c r="F17" s="33">
        <v>162</v>
      </c>
      <c r="G17" s="33">
        <v>963317802664</v>
      </c>
      <c r="H17" s="33">
        <v>835096238401</v>
      </c>
      <c r="I17" s="33">
        <v>349205559204.79999</v>
      </c>
      <c r="J17" s="33">
        <v>128221564263</v>
      </c>
      <c r="K17" s="33">
        <v>360850091913.66998</v>
      </c>
      <c r="L17" s="33">
        <v>339712789507.12994</v>
      </c>
      <c r="M17" s="33">
        <v>339733943523.12994</v>
      </c>
      <c r="N17" s="33">
        <v>0</v>
      </c>
      <c r="O17" s="33">
        <v>0.40679477871627684</v>
      </c>
      <c r="P17" s="33">
        <v>0.97287667555110369</v>
      </c>
      <c r="Q17" s="33">
        <v>8091144220.0100002</v>
      </c>
      <c r="R17" s="33">
        <v>2.2422452983455885E-2</v>
      </c>
      <c r="S17" s="34">
        <v>495383448893.87006</v>
      </c>
      <c r="T17" s="34">
        <v>36905502551.800011</v>
      </c>
      <c r="U17" s="34">
        <v>458477946342.07001</v>
      </c>
      <c r="V17" s="1">
        <v>45</v>
      </c>
    </row>
    <row r="18" spans="2:22" ht="14.4" thickBot="1" x14ac:dyDescent="0.35">
      <c r="H18" s="35"/>
      <c r="J18" s="36"/>
    </row>
    <row r="19" spans="2:22" ht="14.4" thickBot="1" x14ac:dyDescent="0.35">
      <c r="B19" s="73" t="s">
        <v>36</v>
      </c>
      <c r="C19" s="24">
        <f>+C16-C17</f>
        <v>122</v>
      </c>
      <c r="D19" s="25">
        <f>+D16-D17</f>
        <v>6</v>
      </c>
      <c r="E19" s="25">
        <f t="shared" ref="E19:U19" si="8">+E16-E17</f>
        <v>115</v>
      </c>
      <c r="F19" s="25">
        <f>+F16-F17</f>
        <v>116</v>
      </c>
      <c r="G19" s="26">
        <f>+G16-G17</f>
        <v>64559950926.419922</v>
      </c>
      <c r="H19" s="26">
        <f t="shared" si="8"/>
        <v>3780064789.4199219</v>
      </c>
      <c r="I19" s="26">
        <f t="shared" si="8"/>
        <v>7221798949</v>
      </c>
      <c r="J19" s="26">
        <f>+J16-J17</f>
        <v>60779886137</v>
      </c>
      <c r="K19" s="26">
        <f t="shared" si="8"/>
        <v>5843652988.4000244</v>
      </c>
      <c r="L19" s="26">
        <f>+L16-L17</f>
        <v>7546623464.7000122</v>
      </c>
      <c r="M19" s="27">
        <f t="shared" si="8"/>
        <v>7598123000.7000122</v>
      </c>
      <c r="N19" s="28">
        <f t="shared" si="8"/>
        <v>0</v>
      </c>
      <c r="O19" s="29">
        <f t="shared" si="8"/>
        <v>7.1630499303670936E-3</v>
      </c>
      <c r="P19" s="29">
        <f t="shared" si="8"/>
        <v>1.6053853179573974E-3</v>
      </c>
      <c r="Q19" s="26">
        <f t="shared" si="8"/>
        <v>4773043238.3099995</v>
      </c>
      <c r="R19" s="29">
        <f t="shared" si="8"/>
        <v>1.2659103866540389E-2</v>
      </c>
      <c r="S19" s="26">
        <f t="shared" si="8"/>
        <v>-3766558675.2800293</v>
      </c>
      <c r="T19" s="26">
        <f t="shared" si="8"/>
        <v>-2711386938.2200127</v>
      </c>
      <c r="U19" s="37">
        <f t="shared" si="8"/>
        <v>-1055171737.0599976</v>
      </c>
    </row>
    <row r="21" spans="2:22" x14ac:dyDescent="0.3">
      <c r="T21" s="74"/>
    </row>
    <row r="22" spans="2:22" x14ac:dyDescent="0.3">
      <c r="N22" s="35"/>
      <c r="T22" s="33">
        <v>-26834718798.189999</v>
      </c>
    </row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</sheetData>
  <mergeCells count="5">
    <mergeCell ref="B3:X3"/>
    <mergeCell ref="B6:B7"/>
    <mergeCell ref="C6:J6"/>
    <mergeCell ref="L6:R6"/>
    <mergeCell ref="S6:U6"/>
  </mergeCells>
  <conditionalFormatting sqref="B8:L14">
    <cfRule type="containsText" dxfId="106" priority="1" operator="containsText" text="Proyecto">
      <formula>NOT(ISERROR(SEARCH("Proyecto",B8)))</formula>
    </cfRule>
    <cfRule type="expression" dxfId="105" priority="2">
      <formula>#REF!="Total"</formula>
    </cfRule>
  </conditionalFormatting>
  <conditionalFormatting sqref="G16:M16 O16:X16">
    <cfRule type="containsText" dxfId="104" priority="9" operator="containsText" text="Proyecto">
      <formula>NOT(ISERROR(SEARCH("Proyecto",G16)))</formula>
    </cfRule>
  </conditionalFormatting>
  <conditionalFormatting sqref="G19:M19 O19:U19">
    <cfRule type="containsText" dxfId="103" priority="7" operator="containsText" text="Proyecto">
      <formula>NOT(ISERROR(SEARCH("Proyecto",G19)))</formula>
    </cfRule>
    <cfRule type="expression" dxfId="102" priority="8">
      <formula>#REF!="Total"</formula>
    </cfRule>
  </conditionalFormatting>
  <conditionalFormatting sqref="Q8:Q14 G16:M16 O16:X16">
    <cfRule type="expression" dxfId="101" priority="11">
      <formula>#REF!="Total"</formula>
    </cfRule>
  </conditionalFormatting>
  <conditionalFormatting sqref="Q8:Q14">
    <cfRule type="containsText" dxfId="100" priority="10" operator="containsText" text="Proyecto">
      <formula>NOT(ISERROR(SEARCH("Proyecto",Q8)))</formula>
    </cfRule>
  </conditionalFormatting>
  <conditionalFormatting sqref="S17:U17">
    <cfRule type="containsText" dxfId="99" priority="5" operator="containsText" text="Proyecto">
      <formula>NOT(ISERROR(SEARCH("Proyecto",S17)))</formula>
    </cfRule>
    <cfRule type="expression" dxfId="98" priority="6">
      <formula>#REF!="Total"</formula>
    </cfRule>
  </conditionalFormatting>
  <conditionalFormatting sqref="S8:W14">
    <cfRule type="containsText" dxfId="97" priority="3" operator="containsText" text="Proyecto">
      <formula>NOT(ISERROR(SEARCH("Proyecto",S8)))</formula>
    </cfRule>
    <cfRule type="expression" dxfId="96" priority="4">
      <formula>#REF!="Total"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E205-0179-4CEA-9848-367CC3494788}">
  <dimension ref="A1:Z22"/>
  <sheetViews>
    <sheetView topLeftCell="A7" workbookViewId="0">
      <selection activeCell="F19" sqref="F19"/>
    </sheetView>
  </sheetViews>
  <sheetFormatPr baseColWidth="10" defaultColWidth="11.44140625" defaultRowHeight="13.8" x14ac:dyDescent="0.3"/>
  <cols>
    <col min="1" max="1" width="2.44140625" style="1" customWidth="1"/>
    <col min="2" max="2" width="32.44140625" style="1" customWidth="1"/>
    <col min="3" max="3" width="10" style="1" customWidth="1"/>
    <col min="4" max="4" width="9.88671875" style="1" customWidth="1"/>
    <col min="5" max="5" width="9.6640625" style="1" customWidth="1"/>
    <col min="6" max="6" width="12.6640625" style="1" customWidth="1"/>
    <col min="7" max="7" width="20.109375" style="1" bestFit="1" customWidth="1"/>
    <col min="8" max="10" width="18.5546875" style="1" bestFit="1" customWidth="1"/>
    <col min="11" max="11" width="12.5546875" style="1" hidden="1" customWidth="1"/>
    <col min="12" max="12" width="18.5546875" style="1" bestFit="1" customWidth="1"/>
    <col min="13" max="13" width="18.33203125" style="1" hidden="1" customWidth="1"/>
    <col min="14" max="14" width="16.44140625" style="1" hidden="1" customWidth="1"/>
    <col min="15" max="15" width="11.6640625" style="1" bestFit="1" customWidth="1"/>
    <col min="16" max="16" width="12.109375" style="1" bestFit="1" customWidth="1"/>
    <col min="17" max="17" width="17.5546875" style="1" bestFit="1" customWidth="1"/>
    <col min="18" max="18" width="12" style="1" bestFit="1" customWidth="1"/>
    <col min="19" max="19" width="18.5546875" style="1" bestFit="1" customWidth="1"/>
    <col min="20" max="20" width="17.5546875" style="1" bestFit="1" customWidth="1"/>
    <col min="21" max="21" width="18.5546875" style="1" bestFit="1" customWidth="1"/>
    <col min="22" max="23" width="11.5546875" style="1" hidden="1" customWidth="1"/>
    <col min="24" max="24" width="11.5546875" style="1" bestFit="1" customWidth="1"/>
    <col min="25" max="25" width="11.44140625" style="1"/>
    <col min="26" max="26" width="18.5546875" style="1" bestFit="1" customWidth="1"/>
    <col min="27" max="16384" width="11.44140625" style="1"/>
  </cols>
  <sheetData>
    <row r="1" spans="1:26" x14ac:dyDescent="0.3">
      <c r="A1" s="1" t="s">
        <v>37</v>
      </c>
    </row>
    <row r="2" spans="1:26" ht="14.4" thickBot="1" x14ac:dyDescent="0.35"/>
    <row r="3" spans="1:26" ht="14.4" thickBot="1" x14ac:dyDescent="0.35">
      <c r="B3" s="157" t="s">
        <v>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9"/>
    </row>
    <row r="4" spans="1:26" x14ac:dyDescent="0.3">
      <c r="K4" s="94"/>
    </row>
    <row r="5" spans="1:26" ht="14.4" thickBot="1" x14ac:dyDescent="0.35">
      <c r="B5" s="1" t="s">
        <v>41</v>
      </c>
    </row>
    <row r="6" spans="1:26" ht="14.4" thickBot="1" x14ac:dyDescent="0.35">
      <c r="B6" s="152" t="s">
        <v>2</v>
      </c>
      <c r="C6" s="160" t="s">
        <v>3</v>
      </c>
      <c r="D6" s="161"/>
      <c r="E6" s="161"/>
      <c r="F6" s="161"/>
      <c r="G6" s="161"/>
      <c r="H6" s="161"/>
      <c r="I6" s="161"/>
      <c r="J6" s="162"/>
      <c r="K6" s="2"/>
      <c r="L6" s="160" t="s">
        <v>4</v>
      </c>
      <c r="M6" s="161"/>
      <c r="N6" s="161"/>
      <c r="O6" s="161"/>
      <c r="P6" s="161"/>
      <c r="Q6" s="161"/>
      <c r="R6" s="162"/>
      <c r="S6" s="163" t="s">
        <v>5</v>
      </c>
      <c r="T6" s="163"/>
      <c r="U6" s="164"/>
      <c r="V6" s="3"/>
      <c r="W6" s="3"/>
      <c r="X6" s="2"/>
    </row>
    <row r="7" spans="1:26" ht="84.6" thickBot="1" x14ac:dyDescent="0.35">
      <c r="B7" s="153"/>
      <c r="C7" s="4" t="s">
        <v>6</v>
      </c>
      <c r="D7" s="4" t="s">
        <v>7</v>
      </c>
      <c r="E7" s="5" t="s">
        <v>8</v>
      </c>
      <c r="F7" s="5" t="s">
        <v>42</v>
      </c>
      <c r="G7" s="5" t="s">
        <v>10</v>
      </c>
      <c r="H7" s="5" t="s">
        <v>11</v>
      </c>
      <c r="I7" s="5" t="s">
        <v>12</v>
      </c>
      <c r="J7" s="4" t="s">
        <v>13</v>
      </c>
      <c r="K7" s="6" t="s">
        <v>14</v>
      </c>
      <c r="L7" s="7" t="s">
        <v>15</v>
      </c>
      <c r="M7" s="8" t="s">
        <v>16</v>
      </c>
      <c r="N7" s="8" t="s">
        <v>17</v>
      </c>
      <c r="O7" s="9" t="s">
        <v>18</v>
      </c>
      <c r="P7" s="9" t="s">
        <v>19</v>
      </c>
      <c r="Q7" s="9" t="s">
        <v>20</v>
      </c>
      <c r="R7" s="10" t="s">
        <v>21</v>
      </c>
      <c r="S7" s="11" t="s">
        <v>22</v>
      </c>
      <c r="T7" s="11" t="s">
        <v>23</v>
      </c>
      <c r="U7" s="11" t="s">
        <v>24</v>
      </c>
      <c r="V7" s="12" t="s">
        <v>25</v>
      </c>
      <c r="W7" s="12" t="s">
        <v>26</v>
      </c>
      <c r="X7" s="12" t="s">
        <v>27</v>
      </c>
    </row>
    <row r="8" spans="1:26" ht="15" thickBot="1" x14ac:dyDescent="0.35">
      <c r="B8" s="71" t="s">
        <v>28</v>
      </c>
      <c r="C8" s="38">
        <v>303</v>
      </c>
      <c r="D8" s="39">
        <v>296</v>
      </c>
      <c r="E8" s="39">
        <v>296</v>
      </c>
      <c r="F8" s="59">
        <f t="shared" ref="F8:F14" si="0">C8-D8</f>
        <v>7</v>
      </c>
      <c r="G8" s="40">
        <f>H8+J8</f>
        <v>134243280508.88</v>
      </c>
      <c r="H8" s="41">
        <f t="shared" ref="H8:H13" si="1">L8+S8</f>
        <v>132575323008.88</v>
      </c>
      <c r="I8" s="41">
        <v>96001036030</v>
      </c>
      <c r="J8" s="42">
        <v>1667957500</v>
      </c>
      <c r="K8" s="53">
        <v>130183612382.61</v>
      </c>
      <c r="L8" s="54">
        <f t="shared" ref="L8:L11" si="2">M8+N8</f>
        <v>126098677182.07001</v>
      </c>
      <c r="M8" s="89">
        <v>126098677182.07001</v>
      </c>
      <c r="N8" s="13">
        <v>0</v>
      </c>
      <c r="O8" s="14">
        <f>L8/H8</f>
        <v>0.95114742563081522</v>
      </c>
      <c r="P8" s="14">
        <f>M8/I8</f>
        <v>1.3135137119006153</v>
      </c>
      <c r="Q8" s="41">
        <v>256834713.04999995</v>
      </c>
      <c r="R8" s="93">
        <f>Q8/K8</f>
        <v>1.9728651582901387E-3</v>
      </c>
      <c r="S8" s="45">
        <f>T8+U8</f>
        <v>6476645826.8100014</v>
      </c>
      <c r="T8" s="51">
        <v>0</v>
      </c>
      <c r="U8" s="41">
        <v>6476645826.8100014</v>
      </c>
      <c r="V8" s="46">
        <v>12</v>
      </c>
      <c r="W8" s="14" t="e">
        <f>V8/#REF!</f>
        <v>#REF!</v>
      </c>
      <c r="X8" s="47">
        <v>45930</v>
      </c>
      <c r="Z8" s="95"/>
    </row>
    <row r="9" spans="1:26" ht="14.4" thickBot="1" x14ac:dyDescent="0.35">
      <c r="B9" s="72" t="s">
        <v>29</v>
      </c>
      <c r="C9" s="48">
        <v>293</v>
      </c>
      <c r="D9" s="49">
        <v>284</v>
      </c>
      <c r="E9" s="49">
        <v>290</v>
      </c>
      <c r="F9" s="59">
        <f t="shared" si="0"/>
        <v>9</v>
      </c>
      <c r="G9" s="40">
        <f>H9+J9</f>
        <v>161115117470</v>
      </c>
      <c r="H9" s="51">
        <f t="shared" si="1"/>
        <v>153892120435</v>
      </c>
      <c r="I9" s="51">
        <v>84675534259.800003</v>
      </c>
      <c r="J9" s="52">
        <v>7222997035</v>
      </c>
      <c r="K9" s="53">
        <v>91179542954.179993</v>
      </c>
      <c r="L9" s="54">
        <f t="shared" si="2"/>
        <v>84352931988.62001</v>
      </c>
      <c r="M9" s="90">
        <v>84352931988.62001</v>
      </c>
      <c r="N9" s="16">
        <v>0</v>
      </c>
      <c r="O9" s="17">
        <f t="shared" ref="O9:P13" si="3">L9/H9</f>
        <v>0.54813028600933777</v>
      </c>
      <c r="P9" s="17">
        <f>M9/I9</f>
        <v>0.99619013598201589</v>
      </c>
      <c r="Q9" s="51">
        <v>12052292331.18</v>
      </c>
      <c r="R9" s="18">
        <f t="shared" ref="R9:R12" si="4">Q9/K9</f>
        <v>0.13218197789428029</v>
      </c>
      <c r="S9" s="55">
        <f t="shared" ref="S9:S14" si="5">T9+U9</f>
        <v>69539188446.37999</v>
      </c>
      <c r="T9" s="51">
        <f>+I9-L9</f>
        <v>322602271.17999268</v>
      </c>
      <c r="U9" s="51">
        <v>69216586175.199997</v>
      </c>
      <c r="V9" s="56">
        <v>2</v>
      </c>
      <c r="W9" s="17" t="e">
        <f>V9/#REF!</f>
        <v>#REF!</v>
      </c>
      <c r="X9" s="47">
        <v>45930</v>
      </c>
    </row>
    <row r="10" spans="1:26" ht="14.4" thickBot="1" x14ac:dyDescent="0.35">
      <c r="A10" s="19"/>
      <c r="B10" s="72" t="s">
        <v>30</v>
      </c>
      <c r="C10" s="48">
        <v>312</v>
      </c>
      <c r="D10" s="49">
        <v>304</v>
      </c>
      <c r="E10" s="49">
        <v>308</v>
      </c>
      <c r="F10" s="59">
        <f t="shared" si="0"/>
        <v>8</v>
      </c>
      <c r="G10" s="50">
        <f t="shared" ref="G10:G14" si="6">H10+J10</f>
        <v>177418331910</v>
      </c>
      <c r="H10" s="51">
        <f t="shared" si="1"/>
        <v>170240302571</v>
      </c>
      <c r="I10" s="51">
        <v>60496718471</v>
      </c>
      <c r="J10" s="52">
        <v>7178029339</v>
      </c>
      <c r="K10" s="53">
        <v>59455074210</v>
      </c>
      <c r="L10" s="54">
        <f t="shared" si="2"/>
        <v>58828821248.139999</v>
      </c>
      <c r="M10" s="91">
        <v>58828821248.139999</v>
      </c>
      <c r="N10" s="16">
        <v>0</v>
      </c>
      <c r="O10" s="17">
        <f t="shared" si="3"/>
        <v>0.34556342041042248</v>
      </c>
      <c r="P10" s="17">
        <f t="shared" si="3"/>
        <v>0.97242995545850086</v>
      </c>
      <c r="Q10" s="51">
        <v>248593351</v>
      </c>
      <c r="R10" s="18">
        <f t="shared" si="4"/>
        <v>4.1811965471937468E-3</v>
      </c>
      <c r="S10" s="55">
        <f t="shared" si="5"/>
        <v>111411481322.86</v>
      </c>
      <c r="T10" s="51">
        <f>+I10-L10</f>
        <v>1667897222.8600006</v>
      </c>
      <c r="U10" s="51">
        <v>109743584100</v>
      </c>
      <c r="V10" s="56">
        <v>11</v>
      </c>
      <c r="W10" s="17" t="e">
        <f>V10/#REF!</f>
        <v>#REF!</v>
      </c>
      <c r="X10" s="57">
        <v>45932</v>
      </c>
    </row>
    <row r="11" spans="1:26" ht="14.4" thickBot="1" x14ac:dyDescent="0.35">
      <c r="B11" s="72" t="s">
        <v>31</v>
      </c>
      <c r="C11" s="48">
        <v>231</v>
      </c>
      <c r="D11" s="49">
        <v>207</v>
      </c>
      <c r="E11" s="49">
        <v>213</v>
      </c>
      <c r="F11" s="59">
        <f t="shared" si="0"/>
        <v>24</v>
      </c>
      <c r="G11" s="50">
        <f>H11+J11</f>
        <v>141092163319</v>
      </c>
      <c r="H11" s="51">
        <f t="shared" si="1"/>
        <v>122878284122</v>
      </c>
      <c r="I11" s="51">
        <v>37846861804</v>
      </c>
      <c r="J11" s="52">
        <v>18213879197</v>
      </c>
      <c r="K11" s="53">
        <v>30782866797</v>
      </c>
      <c r="L11" s="54">
        <f t="shared" si="2"/>
        <v>30996174148.349998</v>
      </c>
      <c r="M11" s="91">
        <v>30996174148.349998</v>
      </c>
      <c r="N11" s="16">
        <v>0</v>
      </c>
      <c r="O11" s="17">
        <f>L11/H11</f>
        <v>0.25225103336872262</v>
      </c>
      <c r="P11" s="17">
        <f t="shared" si="3"/>
        <v>0.81898928130083537</v>
      </c>
      <c r="Q11" s="51">
        <v>225425337</v>
      </c>
      <c r="R11" s="18">
        <f>Q11/K11</f>
        <v>7.3230780773793696E-3</v>
      </c>
      <c r="S11" s="55">
        <f t="shared" si="5"/>
        <v>91882109973.649994</v>
      </c>
      <c r="T11" s="51">
        <f t="shared" ref="T11:T13" si="7">+I11-L11</f>
        <v>6850687655.6500015</v>
      </c>
      <c r="U11" s="51">
        <v>85031422318</v>
      </c>
      <c r="V11" s="56">
        <v>9</v>
      </c>
      <c r="W11" s="17" t="e">
        <f>V11/#REF!</f>
        <v>#REF!</v>
      </c>
      <c r="X11" s="57">
        <v>45932</v>
      </c>
    </row>
    <row r="12" spans="1:26" ht="14.4" thickBot="1" x14ac:dyDescent="0.35">
      <c r="B12" s="72" t="s">
        <v>32</v>
      </c>
      <c r="C12" s="48">
        <v>237</v>
      </c>
      <c r="D12" s="49">
        <v>218</v>
      </c>
      <c r="E12" s="49">
        <v>223</v>
      </c>
      <c r="F12" s="59">
        <f t="shared" si="0"/>
        <v>19</v>
      </c>
      <c r="G12" s="50">
        <f>H12+J12</f>
        <v>175345886223</v>
      </c>
      <c r="H12" s="51">
        <f t="shared" si="1"/>
        <v>158337004983</v>
      </c>
      <c r="I12" s="51">
        <v>47914490288</v>
      </c>
      <c r="J12" s="52">
        <v>17008881240</v>
      </c>
      <c r="K12" s="53">
        <v>36620906944</v>
      </c>
      <c r="L12" s="54">
        <f>M12+N12</f>
        <v>36520743276.910004</v>
      </c>
      <c r="M12" s="91">
        <v>36520743276.910004</v>
      </c>
      <c r="N12" s="16">
        <v>0</v>
      </c>
      <c r="O12" s="17">
        <f t="shared" si="3"/>
        <v>0.23065197728623885</v>
      </c>
      <c r="P12" s="17">
        <f>M12/I12</f>
        <v>0.76220665308958702</v>
      </c>
      <c r="Q12" s="51">
        <v>193227170</v>
      </c>
      <c r="R12" s="18">
        <f t="shared" si="4"/>
        <v>5.2764168373950803E-3</v>
      </c>
      <c r="S12" s="55">
        <f t="shared" si="5"/>
        <v>121816261706.09</v>
      </c>
      <c r="T12" s="51">
        <f t="shared" si="7"/>
        <v>11393747011.089996</v>
      </c>
      <c r="U12" s="51">
        <v>110422514695</v>
      </c>
      <c r="V12" s="56">
        <v>6</v>
      </c>
      <c r="W12" s="17" t="e">
        <f>V12/#REF!</f>
        <v>#REF!</v>
      </c>
      <c r="X12" s="47">
        <v>45930</v>
      </c>
      <c r="Y12" s="20"/>
    </row>
    <row r="13" spans="1:26" ht="14.4" thickBot="1" x14ac:dyDescent="0.35">
      <c r="B13" s="72" t="s">
        <v>33</v>
      </c>
      <c r="C13" s="48">
        <v>151</v>
      </c>
      <c r="D13" s="49">
        <v>71</v>
      </c>
      <c r="E13" s="49">
        <v>110</v>
      </c>
      <c r="F13" s="59">
        <f t="shared" si="0"/>
        <v>80</v>
      </c>
      <c r="G13" s="50">
        <f t="shared" si="6"/>
        <v>123261519220</v>
      </c>
      <c r="H13" s="51">
        <f t="shared" si="1"/>
        <v>53043619220</v>
      </c>
      <c r="I13" s="51">
        <v>14821092856</v>
      </c>
      <c r="J13" s="52">
        <v>70217900000</v>
      </c>
      <c r="K13" s="53">
        <v>4026648075</v>
      </c>
      <c r="L13" s="54">
        <f>M13+N13</f>
        <v>3630334594.1500001</v>
      </c>
      <c r="M13" s="91">
        <v>3630334594.1500001</v>
      </c>
      <c r="N13" s="16">
        <v>0</v>
      </c>
      <c r="O13" s="17">
        <f>L13/H13</f>
        <v>6.8440552276289424E-2</v>
      </c>
      <c r="P13" s="17">
        <f t="shared" si="3"/>
        <v>0.24494378582078294</v>
      </c>
      <c r="Q13" s="51">
        <v>175943746</v>
      </c>
      <c r="R13" s="18">
        <f>Q13/K13</f>
        <v>4.3694840652296139E-2</v>
      </c>
      <c r="S13" s="55">
        <f t="shared" si="5"/>
        <v>49413284625.849998</v>
      </c>
      <c r="T13" s="51">
        <f t="shared" si="7"/>
        <v>11190758261.85</v>
      </c>
      <c r="U13" s="51">
        <v>38222526364</v>
      </c>
      <c r="V13" s="56">
        <v>5</v>
      </c>
      <c r="W13" s="17" t="e">
        <f>V13/#REF!</f>
        <v>#REF!</v>
      </c>
      <c r="X13" s="47">
        <v>45930</v>
      </c>
      <c r="Y13" s="20"/>
    </row>
    <row r="14" spans="1:26" ht="14.4" thickBot="1" x14ac:dyDescent="0.35">
      <c r="B14" s="72" t="s">
        <v>34</v>
      </c>
      <c r="C14" s="58">
        <v>263</v>
      </c>
      <c r="D14" s="59">
        <v>131</v>
      </c>
      <c r="E14" s="59">
        <v>134</v>
      </c>
      <c r="F14" s="59">
        <f t="shared" si="0"/>
        <v>132</v>
      </c>
      <c r="G14" s="60">
        <f t="shared" si="6"/>
        <v>116522712000</v>
      </c>
      <c r="H14" s="61">
        <v>48642963180</v>
      </c>
      <c r="I14" s="61">
        <v>16461571908</v>
      </c>
      <c r="J14" s="62">
        <v>67879748820</v>
      </c>
      <c r="K14" s="63">
        <v>16615675431</v>
      </c>
      <c r="L14" s="54">
        <f>M14+N14</f>
        <v>15531980973.849998</v>
      </c>
      <c r="M14" s="92">
        <v>15531980973.849998</v>
      </c>
      <c r="N14" s="21">
        <v>0</v>
      </c>
      <c r="O14" s="22">
        <f>L14/H14</f>
        <v>0.31930581441708128</v>
      </c>
      <c r="P14" s="22">
        <f>M14/I14</f>
        <v>0.94352963742798834</v>
      </c>
      <c r="Q14" s="61">
        <v>984951357</v>
      </c>
      <c r="R14" s="23">
        <f>Q14/K14</f>
        <v>5.9278442281218875E-2</v>
      </c>
      <c r="S14" s="65">
        <f t="shared" si="5"/>
        <v>33110982206.150002</v>
      </c>
      <c r="T14" s="61">
        <f>+I14-L14</f>
        <v>929590934.15000153</v>
      </c>
      <c r="U14" s="61">
        <v>32181391272</v>
      </c>
      <c r="V14" s="66">
        <v>0</v>
      </c>
      <c r="W14" s="22" t="e">
        <f>V14/#REF!</f>
        <v>#REF!</v>
      </c>
      <c r="X14" s="47">
        <v>45930</v>
      </c>
      <c r="Y14" s="20"/>
    </row>
    <row r="15" spans="1:26" ht="14.4" thickBot="1" x14ac:dyDescent="0.35"/>
    <row r="16" spans="1:26" ht="14.4" thickBot="1" x14ac:dyDescent="0.35">
      <c r="B16" s="73" t="s">
        <v>35</v>
      </c>
      <c r="C16" s="24">
        <f t="shared" ref="C16:N16" si="8">SUM(C8:C14)</f>
        <v>1790</v>
      </c>
      <c r="D16" s="25">
        <f t="shared" si="8"/>
        <v>1511</v>
      </c>
      <c r="E16" s="25">
        <f>SUM(E8:E14)</f>
        <v>1574</v>
      </c>
      <c r="F16" s="25">
        <f t="shared" si="8"/>
        <v>279</v>
      </c>
      <c r="G16" s="26">
        <f>SUM(G8:G14)</f>
        <v>1028999010650.88</v>
      </c>
      <c r="H16" s="26">
        <f>SUM(H8:H14)</f>
        <v>839609617519.88</v>
      </c>
      <c r="I16" s="26">
        <f t="shared" si="8"/>
        <v>358217305616.79999</v>
      </c>
      <c r="J16" s="26">
        <f t="shared" si="8"/>
        <v>189389393131</v>
      </c>
      <c r="K16" s="26">
        <f t="shared" si="8"/>
        <v>368864326793.78998</v>
      </c>
      <c r="L16" s="26">
        <f t="shared" si="8"/>
        <v>355959663412.08997</v>
      </c>
      <c r="M16" s="27">
        <f t="shared" si="8"/>
        <v>355959663412.08997</v>
      </c>
      <c r="N16" s="28">
        <f t="shared" si="8"/>
        <v>0</v>
      </c>
      <c r="O16" s="29">
        <f>L16/H16</f>
        <v>0.42395853499577341</v>
      </c>
      <c r="P16" s="29">
        <f>M16/I16</f>
        <v>0.9936975624312101</v>
      </c>
      <c r="Q16" s="26">
        <f>SUM(Q8:Q14)</f>
        <v>14137268005.23</v>
      </c>
      <c r="R16" s="29">
        <f>+Q16/K16</f>
        <v>3.8326471220767579E-2</v>
      </c>
      <c r="S16" s="26">
        <f>SUM(S8:S14)</f>
        <v>483649954107.78992</v>
      </c>
      <c r="T16" s="26">
        <f>SUM(T8:T14)</f>
        <v>32355283356.779991</v>
      </c>
      <c r="U16" s="26">
        <f>SUM(U8:U14)</f>
        <v>451294670751.01001</v>
      </c>
      <c r="V16" s="30">
        <f>SUM(V8:V14)</f>
        <v>45</v>
      </c>
      <c r="W16" s="30"/>
      <c r="X16" s="31"/>
    </row>
    <row r="17" spans="2:22" x14ac:dyDescent="0.3">
      <c r="C17" s="32">
        <v>1790</v>
      </c>
      <c r="D17" s="33">
        <v>1512</v>
      </c>
      <c r="E17" s="33">
        <v>1711</v>
      </c>
      <c r="F17" s="33">
        <v>278</v>
      </c>
      <c r="G17" s="33">
        <v>1027877753590.4199</v>
      </c>
      <c r="H17" s="33">
        <v>838876303190.41992</v>
      </c>
      <c r="I17" s="33">
        <v>356427358153.79999</v>
      </c>
      <c r="J17" s="33">
        <v>189001450400</v>
      </c>
      <c r="K17" s="33">
        <v>366693744902.07001</v>
      </c>
      <c r="L17" s="33">
        <v>347259412971.82996</v>
      </c>
      <c r="M17" s="33">
        <v>347332066523.82996</v>
      </c>
      <c r="N17" s="33">
        <v>0</v>
      </c>
      <c r="O17" s="33">
        <v>0.41395782864664393</v>
      </c>
      <c r="P17" s="33">
        <v>0.97448206086906108</v>
      </c>
      <c r="Q17" s="33">
        <v>12864187458.32</v>
      </c>
      <c r="R17" s="33">
        <v>3.5081556849996275E-2</v>
      </c>
      <c r="S17" s="34">
        <v>491616890218.59003</v>
      </c>
      <c r="T17" s="34">
        <v>34194115613.579998</v>
      </c>
      <c r="U17" s="34">
        <v>457422774605.01001</v>
      </c>
      <c r="V17" s="1">
        <v>45</v>
      </c>
    </row>
    <row r="18" spans="2:22" ht="14.4" thickBot="1" x14ac:dyDescent="0.35">
      <c r="H18" s="35"/>
      <c r="J18" s="36"/>
    </row>
    <row r="19" spans="2:22" ht="14.4" thickBot="1" x14ac:dyDescent="0.35">
      <c r="B19" s="73" t="s">
        <v>36</v>
      </c>
      <c r="C19" s="24">
        <f>+C16-C17</f>
        <v>0</v>
      </c>
      <c r="D19" s="25">
        <f>+D16-D17</f>
        <v>-1</v>
      </c>
      <c r="E19" s="25">
        <f>+E16-E17</f>
        <v>-137</v>
      </c>
      <c r="F19" s="25">
        <f>+F16-F17</f>
        <v>1</v>
      </c>
      <c r="G19" s="26">
        <f>+G16-G17</f>
        <v>1121257060.460083</v>
      </c>
      <c r="H19" s="26">
        <f t="shared" ref="H19:U19" si="9">+H16-H17</f>
        <v>733314329.46008301</v>
      </c>
      <c r="I19" s="26">
        <f t="shared" si="9"/>
        <v>1789947463</v>
      </c>
      <c r="J19" s="26">
        <f>+J16-J17</f>
        <v>387942731</v>
      </c>
      <c r="K19" s="26">
        <f t="shared" si="9"/>
        <v>2170581891.7199707</v>
      </c>
      <c r="L19" s="26">
        <f>+L16-L17</f>
        <v>8700250440.2600098</v>
      </c>
      <c r="M19" s="27">
        <f t="shared" si="9"/>
        <v>8627596888.2600098</v>
      </c>
      <c r="N19" s="28">
        <f t="shared" si="9"/>
        <v>0</v>
      </c>
      <c r="O19" s="29">
        <f t="shared" si="9"/>
        <v>1.0000706349129473E-2</v>
      </c>
      <c r="P19" s="29">
        <f t="shared" si="9"/>
        <v>1.9215501562149018E-2</v>
      </c>
      <c r="Q19" s="26">
        <f t="shared" si="9"/>
        <v>1273080546.9099998</v>
      </c>
      <c r="R19" s="29">
        <f t="shared" si="9"/>
        <v>3.2449143707713041E-3</v>
      </c>
      <c r="S19" s="26">
        <f t="shared" si="9"/>
        <v>-7966936110.8001099</v>
      </c>
      <c r="T19" s="26">
        <f t="shared" si="9"/>
        <v>-1838832256.8000069</v>
      </c>
      <c r="U19" s="37">
        <f t="shared" si="9"/>
        <v>-6128103854</v>
      </c>
    </row>
    <row r="21" spans="2:22" x14ac:dyDescent="0.3">
      <c r="T21" s="74"/>
    </row>
    <row r="22" spans="2:22" x14ac:dyDescent="0.3">
      <c r="T22" s="100">
        <v>32355283356.779991</v>
      </c>
    </row>
  </sheetData>
  <mergeCells count="5">
    <mergeCell ref="B3:X3"/>
    <mergeCell ref="B6:B7"/>
    <mergeCell ref="C6:J6"/>
    <mergeCell ref="L6:R6"/>
    <mergeCell ref="S6:U6"/>
  </mergeCells>
  <conditionalFormatting sqref="B8:L14">
    <cfRule type="containsText" dxfId="95" priority="1" operator="containsText" text="Proyecto">
      <formula>NOT(ISERROR(SEARCH("Proyecto",B8)))</formula>
    </cfRule>
    <cfRule type="expression" dxfId="94" priority="2">
      <formula>#REF!="Total"</formula>
    </cfRule>
  </conditionalFormatting>
  <conditionalFormatting sqref="G16:M16 O16:X16">
    <cfRule type="containsText" dxfId="93" priority="13" operator="containsText" text="Proyecto">
      <formula>NOT(ISERROR(SEARCH("Proyecto",G16)))</formula>
    </cfRule>
  </conditionalFormatting>
  <conditionalFormatting sqref="G19:M19 O19:U19">
    <cfRule type="containsText" dxfId="92" priority="11" operator="containsText" text="Proyecto">
      <formula>NOT(ISERROR(SEARCH("Proyecto",G19)))</formula>
    </cfRule>
    <cfRule type="expression" dxfId="91" priority="12">
      <formula>#REF!="Total"</formula>
    </cfRule>
  </conditionalFormatting>
  <conditionalFormatting sqref="Q8:Q14 G16:M16 O16:X16">
    <cfRule type="expression" dxfId="90" priority="15">
      <formula>#REF!="Total"</formula>
    </cfRule>
  </conditionalFormatting>
  <conditionalFormatting sqref="Q8:Q14">
    <cfRule type="containsText" dxfId="89" priority="14" operator="containsText" text="Proyecto">
      <formula>NOT(ISERROR(SEARCH("Proyecto",Q8)))</formula>
    </cfRule>
  </conditionalFormatting>
  <conditionalFormatting sqref="S17:U17">
    <cfRule type="containsText" dxfId="88" priority="9" operator="containsText" text="Proyecto">
      <formula>NOT(ISERROR(SEARCH("Proyecto",S17)))</formula>
    </cfRule>
    <cfRule type="expression" dxfId="87" priority="10">
      <formula>#REF!="Total"</formula>
    </cfRule>
  </conditionalFormatting>
  <conditionalFormatting sqref="S8:W14">
    <cfRule type="containsText" dxfId="86" priority="3" operator="containsText" text="Proyecto">
      <formula>NOT(ISERROR(SEARCH("Proyecto",S8)))</formula>
    </cfRule>
    <cfRule type="expression" dxfId="85" priority="4">
      <formula>#REF!="Total"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C8D0-25FE-4FD4-89EF-11745DDAAA0B}">
  <dimension ref="A1:Z46"/>
  <sheetViews>
    <sheetView topLeftCell="A9" workbookViewId="0">
      <selection activeCell="F13" sqref="F13"/>
    </sheetView>
  </sheetViews>
  <sheetFormatPr baseColWidth="10" defaultColWidth="11.44140625" defaultRowHeight="13.8" x14ac:dyDescent="0.3"/>
  <cols>
    <col min="1" max="1" width="2.44140625" style="1" customWidth="1"/>
    <col min="2" max="2" width="32.44140625" style="1" customWidth="1"/>
    <col min="3" max="3" width="10" style="1" customWidth="1"/>
    <col min="4" max="4" width="9.88671875" style="1" customWidth="1"/>
    <col min="5" max="5" width="9.6640625" style="1" customWidth="1"/>
    <col min="6" max="6" width="11.5546875" style="1" customWidth="1"/>
    <col min="7" max="7" width="13.109375" style="1" customWidth="1"/>
    <col min="8" max="8" width="12.109375" style="1" customWidth="1"/>
    <col min="9" max="9" width="13.5546875" style="1" bestFit="1" customWidth="1"/>
    <col min="10" max="10" width="13.44140625" style="1" bestFit="1" customWidth="1"/>
    <col min="11" max="11" width="12" style="1" hidden="1" customWidth="1"/>
    <col min="12" max="12" width="12.33203125" style="1" bestFit="1" customWidth="1"/>
    <col min="13" max="13" width="18.33203125" style="1" hidden="1" customWidth="1"/>
    <col min="14" max="14" width="16.44140625" style="1" hidden="1" customWidth="1"/>
    <col min="15" max="15" width="11.5546875" style="1" bestFit="1" customWidth="1"/>
    <col min="16" max="16" width="12" style="1" bestFit="1" customWidth="1"/>
    <col min="17" max="17" width="12.44140625" style="1" bestFit="1" customWidth="1"/>
    <col min="18" max="19" width="11.88671875" style="1" bestFit="1" customWidth="1"/>
    <col min="20" max="20" width="12.5546875" style="1" bestFit="1" customWidth="1"/>
    <col min="21" max="21" width="14.5546875" style="1" customWidth="1"/>
    <col min="22" max="23" width="11.5546875" style="1" hidden="1" customWidth="1"/>
    <col min="24" max="24" width="11.5546875" style="1" bestFit="1" customWidth="1"/>
    <col min="25" max="25" width="11.44140625" style="1"/>
    <col min="26" max="26" width="18.5546875" style="1" bestFit="1" customWidth="1"/>
    <col min="27" max="16384" width="11.44140625" style="1"/>
  </cols>
  <sheetData>
    <row r="1" spans="1:26" x14ac:dyDescent="0.3">
      <c r="A1" s="1" t="s">
        <v>37</v>
      </c>
    </row>
    <row r="2" spans="1:26" ht="14.4" thickBot="1" x14ac:dyDescent="0.35"/>
    <row r="3" spans="1:26" ht="14.4" thickBot="1" x14ac:dyDescent="0.35">
      <c r="B3" s="157" t="s">
        <v>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9"/>
    </row>
    <row r="4" spans="1:26" x14ac:dyDescent="0.3">
      <c r="K4" s="94"/>
    </row>
    <row r="5" spans="1:26" ht="14.4" thickBot="1" x14ac:dyDescent="0.35">
      <c r="B5" s="1" t="s">
        <v>43</v>
      </c>
    </row>
    <row r="6" spans="1:26" ht="14.4" thickBot="1" x14ac:dyDescent="0.35">
      <c r="B6" s="152" t="s">
        <v>2</v>
      </c>
      <c r="C6" s="160" t="s">
        <v>3</v>
      </c>
      <c r="D6" s="161"/>
      <c r="E6" s="161"/>
      <c r="F6" s="161"/>
      <c r="G6" s="161"/>
      <c r="H6" s="161"/>
      <c r="I6" s="161"/>
      <c r="J6" s="162"/>
      <c r="K6" s="2"/>
      <c r="L6" s="160" t="s">
        <v>4</v>
      </c>
      <c r="M6" s="161"/>
      <c r="N6" s="161"/>
      <c r="O6" s="161"/>
      <c r="P6" s="161"/>
      <c r="Q6" s="161"/>
      <c r="R6" s="162"/>
      <c r="S6" s="163" t="s">
        <v>5</v>
      </c>
      <c r="T6" s="163"/>
      <c r="U6" s="164"/>
      <c r="V6" s="3"/>
      <c r="W6" s="3"/>
      <c r="X6" s="2"/>
    </row>
    <row r="7" spans="1:26" ht="84.6" thickBot="1" x14ac:dyDescent="0.35">
      <c r="B7" s="153"/>
      <c r="C7" s="4" t="s">
        <v>6</v>
      </c>
      <c r="D7" s="4" t="s">
        <v>7</v>
      </c>
      <c r="E7" s="5" t="s">
        <v>8</v>
      </c>
      <c r="F7" s="5" t="s">
        <v>42</v>
      </c>
      <c r="G7" s="5" t="s">
        <v>10</v>
      </c>
      <c r="H7" s="5" t="s">
        <v>11</v>
      </c>
      <c r="I7" s="5" t="s">
        <v>12</v>
      </c>
      <c r="J7" s="4" t="s">
        <v>13</v>
      </c>
      <c r="K7" s="6" t="s">
        <v>14</v>
      </c>
      <c r="L7" s="7" t="s">
        <v>15</v>
      </c>
      <c r="M7" s="8" t="s">
        <v>16</v>
      </c>
      <c r="N7" s="8" t="s">
        <v>17</v>
      </c>
      <c r="O7" s="9" t="s">
        <v>18</v>
      </c>
      <c r="P7" s="9" t="s">
        <v>19</v>
      </c>
      <c r="Q7" s="9" t="s">
        <v>20</v>
      </c>
      <c r="R7" s="10" t="s">
        <v>21</v>
      </c>
      <c r="S7" s="11" t="s">
        <v>22</v>
      </c>
      <c r="T7" s="11" t="s">
        <v>23</v>
      </c>
      <c r="U7" s="11" t="s">
        <v>24</v>
      </c>
      <c r="V7" s="12" t="s">
        <v>25</v>
      </c>
      <c r="W7" s="12" t="s">
        <v>26</v>
      </c>
      <c r="X7" s="12" t="s">
        <v>27</v>
      </c>
    </row>
    <row r="8" spans="1:26" ht="15" thickBot="1" x14ac:dyDescent="0.35">
      <c r="B8" s="71" t="s">
        <v>28</v>
      </c>
      <c r="C8" s="38">
        <v>303</v>
      </c>
      <c r="D8" s="39">
        <v>297</v>
      </c>
      <c r="E8" s="39">
        <v>298</v>
      </c>
      <c r="F8" s="59">
        <f t="shared" ref="F8:F14" si="0">C8-D8</f>
        <v>6</v>
      </c>
      <c r="G8" s="40">
        <f>H8+J8</f>
        <v>134422557110</v>
      </c>
      <c r="H8" s="41">
        <f t="shared" ref="H8:H14" si="1">L8+S8</f>
        <v>132664720010</v>
      </c>
      <c r="I8" s="41">
        <v>99889438039</v>
      </c>
      <c r="J8" s="42">
        <v>1757837100</v>
      </c>
      <c r="K8" s="53">
        <v>130183612382.61</v>
      </c>
      <c r="L8" s="54">
        <f t="shared" ref="L8:L11" si="2">M8+N8</f>
        <v>126557731670.07001</v>
      </c>
      <c r="M8" s="96">
        <v>126557731670.07001</v>
      </c>
      <c r="N8" s="13">
        <v>0</v>
      </c>
      <c r="O8" s="14">
        <f>L8/H8</f>
        <v>0.95396674911408508</v>
      </c>
      <c r="P8" s="14">
        <f>M8/I8</f>
        <v>1.2669781125473731</v>
      </c>
      <c r="Q8" s="41">
        <v>256834713.04999995</v>
      </c>
      <c r="R8" s="93">
        <f>Q8/K8</f>
        <v>1.9728651582901387E-3</v>
      </c>
      <c r="S8" s="45">
        <f>T8+U8</f>
        <v>6106988339.9299927</v>
      </c>
      <c r="T8" s="51">
        <v>0</v>
      </c>
      <c r="U8" s="41">
        <f>32775281971+T22</f>
        <v>6106988339.9299927</v>
      </c>
      <c r="V8" s="46">
        <v>12</v>
      </c>
      <c r="W8" s="14" t="e">
        <f>V8/#REF!</f>
        <v>#REF!</v>
      </c>
      <c r="X8" s="47">
        <v>45960</v>
      </c>
      <c r="Z8" s="95"/>
    </row>
    <row r="9" spans="1:26" ht="14.4" thickBot="1" x14ac:dyDescent="0.35">
      <c r="B9" s="72" t="s">
        <v>29</v>
      </c>
      <c r="C9" s="48">
        <v>293</v>
      </c>
      <c r="D9" s="49">
        <v>284</v>
      </c>
      <c r="E9" s="49">
        <v>285</v>
      </c>
      <c r="F9" s="59">
        <f t="shared" si="0"/>
        <v>9</v>
      </c>
      <c r="G9" s="40">
        <f>H9+J9</f>
        <v>161384765153</v>
      </c>
      <c r="H9" s="51">
        <f t="shared" si="1"/>
        <v>153961310721</v>
      </c>
      <c r="I9" s="51">
        <v>87485848149.800003</v>
      </c>
      <c r="J9" s="52">
        <v>7423454432</v>
      </c>
      <c r="K9" s="53">
        <v>91179542954.179993</v>
      </c>
      <c r="L9" s="54">
        <f t="shared" si="2"/>
        <v>88690500575.800003</v>
      </c>
      <c r="M9" s="97">
        <v>88690500575.800003</v>
      </c>
      <c r="N9" s="16">
        <v>0</v>
      </c>
      <c r="O9" s="17">
        <f t="shared" ref="O9:P13" si="3">L9/H9</f>
        <v>0.57605706368998066</v>
      </c>
      <c r="P9" s="17">
        <f>M9/I9</f>
        <v>1.0137696833428111</v>
      </c>
      <c r="Q9" s="51">
        <v>23575728034.010887</v>
      </c>
      <c r="R9" s="18">
        <f t="shared" ref="R9:R12" si="4">Q9/K9</f>
        <v>0.25856378821572162</v>
      </c>
      <c r="S9" s="55">
        <f t="shared" ref="S9:S14" si="5">T9+U9</f>
        <v>65270810145.199997</v>
      </c>
      <c r="T9" s="51">
        <f>+I9-L9</f>
        <v>-1204652426</v>
      </c>
      <c r="U9" s="51">
        <v>66475462571.199997</v>
      </c>
      <c r="V9" s="56">
        <v>2</v>
      </c>
      <c r="W9" s="17" t="e">
        <f>V9/#REF!</f>
        <v>#REF!</v>
      </c>
      <c r="X9" s="47">
        <v>45960</v>
      </c>
    </row>
    <row r="10" spans="1:26" ht="14.4" thickBot="1" x14ac:dyDescent="0.35">
      <c r="A10" s="19"/>
      <c r="B10" s="72" t="s">
        <v>30</v>
      </c>
      <c r="C10" s="48">
        <v>312</v>
      </c>
      <c r="D10" s="49">
        <v>299</v>
      </c>
      <c r="E10" s="49">
        <v>299</v>
      </c>
      <c r="F10" s="59">
        <f t="shared" si="0"/>
        <v>13</v>
      </c>
      <c r="G10" s="50">
        <f t="shared" ref="G10:G14" si="6">H10+J10</f>
        <v>177273936001</v>
      </c>
      <c r="H10" s="51">
        <f t="shared" si="1"/>
        <v>168694172304</v>
      </c>
      <c r="I10" s="51">
        <v>60998861402</v>
      </c>
      <c r="J10" s="52">
        <v>8579763697</v>
      </c>
      <c r="K10" s="53">
        <v>59455074210</v>
      </c>
      <c r="L10" s="54">
        <f t="shared" si="2"/>
        <v>58730123902.139999</v>
      </c>
      <c r="M10" s="98">
        <v>58730123902.139999</v>
      </c>
      <c r="N10" s="16">
        <v>0</v>
      </c>
      <c r="O10" s="17">
        <f t="shared" si="3"/>
        <v>0.34814554112932694</v>
      </c>
      <c r="P10" s="17">
        <f t="shared" si="3"/>
        <v>0.96280688773994694</v>
      </c>
      <c r="Q10" s="51">
        <v>167542821</v>
      </c>
      <c r="R10" s="18">
        <f t="shared" si="4"/>
        <v>2.8179734568697296E-3</v>
      </c>
      <c r="S10" s="55">
        <f t="shared" si="5"/>
        <v>109964048401.86</v>
      </c>
      <c r="T10" s="51">
        <f>+I10-L10</f>
        <v>2268737499.8600006</v>
      </c>
      <c r="U10" s="51">
        <v>107695310902</v>
      </c>
      <c r="V10" s="56">
        <v>11</v>
      </c>
      <c r="W10" s="17" t="e">
        <f>V10/#REF!</f>
        <v>#REF!</v>
      </c>
      <c r="X10" s="57">
        <v>45960</v>
      </c>
    </row>
    <row r="11" spans="1:26" ht="14.4" thickBot="1" x14ac:dyDescent="0.35">
      <c r="B11" s="72" t="s">
        <v>31</v>
      </c>
      <c r="C11" s="48">
        <v>231</v>
      </c>
      <c r="D11" s="49">
        <v>206</v>
      </c>
      <c r="E11" s="49">
        <v>212</v>
      </c>
      <c r="F11" s="59">
        <f t="shared" si="0"/>
        <v>25</v>
      </c>
      <c r="G11" s="50">
        <f>H11+J11</f>
        <v>140609893384</v>
      </c>
      <c r="H11" s="51">
        <f t="shared" si="1"/>
        <v>119811253902</v>
      </c>
      <c r="I11" s="51">
        <v>36956283682</v>
      </c>
      <c r="J11" s="52">
        <v>20798639482</v>
      </c>
      <c r="K11" s="53">
        <v>30782866797</v>
      </c>
      <c r="L11" s="54">
        <f t="shared" si="2"/>
        <v>31298581993.349998</v>
      </c>
      <c r="M11" s="98">
        <v>31298581993.349998</v>
      </c>
      <c r="N11" s="16">
        <v>0</v>
      </c>
      <c r="O11" s="17">
        <f>L11/H11</f>
        <v>0.26123240492041572</v>
      </c>
      <c r="P11" s="17">
        <f t="shared" si="3"/>
        <v>0.84690826227731186</v>
      </c>
      <c r="Q11" s="51">
        <v>253419765</v>
      </c>
      <c r="R11" s="18">
        <f>Q11/K11</f>
        <v>8.2324939607216017E-3</v>
      </c>
      <c r="S11" s="55">
        <f t="shared" si="5"/>
        <v>88512671908.649994</v>
      </c>
      <c r="T11" s="51">
        <f t="shared" ref="T11:T13" si="7">+I11-L11</f>
        <v>5657701688.6500015</v>
      </c>
      <c r="U11" s="51">
        <v>82854970220</v>
      </c>
      <c r="V11" s="56">
        <v>9</v>
      </c>
      <c r="W11" s="17" t="e">
        <f>V11/#REF!</f>
        <v>#REF!</v>
      </c>
      <c r="X11" s="57">
        <v>45960</v>
      </c>
    </row>
    <row r="12" spans="1:26" ht="14.4" thickBot="1" x14ac:dyDescent="0.35">
      <c r="B12" s="72" t="s">
        <v>32</v>
      </c>
      <c r="C12" s="48">
        <v>237</v>
      </c>
      <c r="D12" s="49">
        <v>221</v>
      </c>
      <c r="E12" s="49">
        <v>225</v>
      </c>
      <c r="F12" s="59">
        <f t="shared" si="0"/>
        <v>16</v>
      </c>
      <c r="G12" s="50">
        <f>H12+J12</f>
        <v>175822370367</v>
      </c>
      <c r="H12" s="51">
        <f t="shared" si="1"/>
        <v>161267481745</v>
      </c>
      <c r="I12" s="51">
        <v>48736279629</v>
      </c>
      <c r="J12" s="52">
        <v>14554888622</v>
      </c>
      <c r="K12" s="53">
        <v>36620906944</v>
      </c>
      <c r="L12" s="54">
        <f>M12+N12</f>
        <v>37349155349.949997</v>
      </c>
      <c r="M12" s="98">
        <v>37349155349.949997</v>
      </c>
      <c r="N12" s="16">
        <v>0</v>
      </c>
      <c r="O12" s="17">
        <f t="shared" si="3"/>
        <v>0.2315975604369353</v>
      </c>
      <c r="P12" s="17">
        <f>M12/I12</f>
        <v>0.76635220485163547</v>
      </c>
      <c r="Q12" s="51">
        <v>292747658</v>
      </c>
      <c r="R12" s="18">
        <f t="shared" si="4"/>
        <v>7.9940034922582389E-3</v>
      </c>
      <c r="S12" s="55">
        <f t="shared" si="5"/>
        <v>123918326395.05</v>
      </c>
      <c r="T12" s="51">
        <f t="shared" si="7"/>
        <v>11387124279.050003</v>
      </c>
      <c r="U12" s="51">
        <v>112531202116</v>
      </c>
      <c r="V12" s="56">
        <v>6</v>
      </c>
      <c r="W12" s="17" t="e">
        <f>V12/#REF!</f>
        <v>#REF!</v>
      </c>
      <c r="X12" s="47">
        <v>45960</v>
      </c>
      <c r="Y12" s="20"/>
    </row>
    <row r="13" spans="1:26" ht="14.4" thickBot="1" x14ac:dyDescent="0.35">
      <c r="B13" s="72" t="s">
        <v>33</v>
      </c>
      <c r="C13" s="48">
        <v>151</v>
      </c>
      <c r="D13" s="49">
        <v>85</v>
      </c>
      <c r="E13" s="49">
        <v>114</v>
      </c>
      <c r="F13" s="59">
        <f t="shared" si="0"/>
        <v>66</v>
      </c>
      <c r="G13" s="50">
        <f t="shared" si="6"/>
        <v>122537289184</v>
      </c>
      <c r="H13" s="51">
        <f t="shared" si="1"/>
        <v>60866862734</v>
      </c>
      <c r="I13" s="51">
        <v>17330683879</v>
      </c>
      <c r="J13" s="52">
        <v>61670426450</v>
      </c>
      <c r="K13" s="53">
        <v>4026648075</v>
      </c>
      <c r="L13" s="54">
        <f>M13+N13</f>
        <v>4302276049.2700005</v>
      </c>
      <c r="M13" s="98">
        <v>4302276049.2700005</v>
      </c>
      <c r="N13" s="16">
        <v>0</v>
      </c>
      <c r="O13" s="17">
        <f>L13/H13</f>
        <v>7.0683387577765946E-2</v>
      </c>
      <c r="P13" s="17">
        <f t="shared" si="3"/>
        <v>0.24824617881831948</v>
      </c>
      <c r="Q13" s="51">
        <v>621396270</v>
      </c>
      <c r="R13" s="18">
        <f>Q13/K13</f>
        <v>0.15432097824938426</v>
      </c>
      <c r="S13" s="55">
        <f t="shared" si="5"/>
        <v>56564586684.729996</v>
      </c>
      <c r="T13" s="51">
        <f t="shared" si="7"/>
        <v>13028407829.73</v>
      </c>
      <c r="U13" s="51">
        <v>43536178855</v>
      </c>
      <c r="V13" s="56">
        <v>5</v>
      </c>
      <c r="W13" s="17" t="e">
        <f>V13/#REF!</f>
        <v>#REF!</v>
      </c>
      <c r="X13" s="47">
        <v>45960</v>
      </c>
      <c r="Y13" s="20"/>
    </row>
    <row r="14" spans="1:26" ht="14.4" thickBot="1" x14ac:dyDescent="0.35">
      <c r="B14" s="72" t="s">
        <v>34</v>
      </c>
      <c r="C14" s="58">
        <v>263</v>
      </c>
      <c r="D14" s="59">
        <v>127</v>
      </c>
      <c r="E14" s="59">
        <v>134</v>
      </c>
      <c r="F14" s="59">
        <f t="shared" si="0"/>
        <v>136</v>
      </c>
      <c r="G14" s="50">
        <f t="shared" si="6"/>
        <v>117324190563</v>
      </c>
      <c r="H14" s="51">
        <f t="shared" si="1"/>
        <v>47623377216</v>
      </c>
      <c r="I14" s="61">
        <v>16341208655</v>
      </c>
      <c r="J14" s="62">
        <v>69700813347</v>
      </c>
      <c r="K14" s="63">
        <v>16615675431</v>
      </c>
      <c r="L14" s="54">
        <f>M14+N14</f>
        <v>15020295581.659998</v>
      </c>
      <c r="M14" s="99">
        <v>15020295581.659998</v>
      </c>
      <c r="N14" s="21">
        <v>0</v>
      </c>
      <c r="O14" s="22">
        <f>L14/H14</f>
        <v>0.31539753078691019</v>
      </c>
      <c r="P14" s="22">
        <f>M14/I14</f>
        <v>0.91916674578805801</v>
      </c>
      <c r="Q14" s="61">
        <v>915083525</v>
      </c>
      <c r="R14" s="23">
        <f>Q14/K14</f>
        <v>5.5073507471909401E-2</v>
      </c>
      <c r="S14" s="65">
        <f t="shared" si="5"/>
        <v>32603081634.340004</v>
      </c>
      <c r="T14" s="61">
        <f>+I14-L14</f>
        <v>1320913073.3400021</v>
      </c>
      <c r="U14" s="61">
        <v>31282168561</v>
      </c>
      <c r="V14" s="66">
        <v>0</v>
      </c>
      <c r="W14" s="22" t="e">
        <f>V14/#REF!</f>
        <v>#REF!</v>
      </c>
      <c r="X14" s="47">
        <v>45960</v>
      </c>
      <c r="Y14" s="20"/>
    </row>
    <row r="15" spans="1:26" ht="14.4" thickBot="1" x14ac:dyDescent="0.35"/>
    <row r="16" spans="1:26" ht="14.4" thickBot="1" x14ac:dyDescent="0.35">
      <c r="B16" s="73" t="s">
        <v>35</v>
      </c>
      <c r="C16" s="24">
        <f t="shared" ref="C16:N16" si="8">SUM(C8:C14)</f>
        <v>1790</v>
      </c>
      <c r="D16" s="25">
        <f t="shared" si="8"/>
        <v>1519</v>
      </c>
      <c r="E16" s="25">
        <f>SUM(E8:E14)</f>
        <v>1567</v>
      </c>
      <c r="F16" s="25">
        <f t="shared" si="8"/>
        <v>271</v>
      </c>
      <c r="G16" s="26">
        <f t="shared" si="8"/>
        <v>1029375001762</v>
      </c>
      <c r="H16" s="26">
        <f>SUM(H8:H14)</f>
        <v>844889178632</v>
      </c>
      <c r="I16" s="26">
        <f t="shared" si="8"/>
        <v>367738603435.79999</v>
      </c>
      <c r="J16" s="26">
        <f t="shared" si="8"/>
        <v>184485823130</v>
      </c>
      <c r="K16" s="26">
        <f t="shared" si="8"/>
        <v>368864326793.78998</v>
      </c>
      <c r="L16" s="26">
        <f t="shared" si="8"/>
        <v>361948665122.23999</v>
      </c>
      <c r="M16" s="27">
        <f t="shared" si="8"/>
        <v>361948665122.23999</v>
      </c>
      <c r="N16" s="28">
        <f t="shared" si="8"/>
        <v>0</v>
      </c>
      <c r="O16" s="29">
        <f>L16/H16</f>
        <v>0.42839779970704345</v>
      </c>
      <c r="P16" s="29">
        <f>M16/I16</f>
        <v>0.98425528824152719</v>
      </c>
      <c r="Q16" s="26">
        <f>SUM(Q8:Q14)</f>
        <v>26082752786.060886</v>
      </c>
      <c r="R16" s="29">
        <f>+Q16/K16</f>
        <v>7.0710965771006093E-2</v>
      </c>
      <c r="S16" s="26">
        <f>SUM(S8:S14)</f>
        <v>482940513509.76001</v>
      </c>
      <c r="T16" s="26">
        <f>SUM(T8:T14)</f>
        <v>32458231944.630005</v>
      </c>
      <c r="U16" s="26">
        <f>SUM(U8:U14)</f>
        <v>450482281565.13</v>
      </c>
      <c r="V16" s="30">
        <f>SUM(V8:V14)</f>
        <v>45</v>
      </c>
      <c r="W16" s="30"/>
      <c r="X16" s="31"/>
    </row>
    <row r="17" spans="2:22" x14ac:dyDescent="0.3">
      <c r="C17" s="32">
        <v>1790</v>
      </c>
      <c r="D17" s="33">
        <v>1511</v>
      </c>
      <c r="E17" s="33">
        <v>1574</v>
      </c>
      <c r="F17" s="33">
        <v>279</v>
      </c>
      <c r="G17" s="33">
        <v>1028999010650.88</v>
      </c>
      <c r="H17" s="33">
        <v>839609617519.88</v>
      </c>
      <c r="I17" s="33">
        <v>358217305616.79999</v>
      </c>
      <c r="J17" s="33">
        <v>189389393131</v>
      </c>
      <c r="K17" s="33">
        <v>368864326793.78998</v>
      </c>
      <c r="L17" s="33">
        <v>355959663412.08997</v>
      </c>
      <c r="M17" s="33">
        <v>355959663412.08997</v>
      </c>
      <c r="N17" s="33">
        <v>0</v>
      </c>
      <c r="O17" s="33">
        <v>0.42395853499577341</v>
      </c>
      <c r="P17" s="33">
        <v>0.9936975624312101</v>
      </c>
      <c r="Q17" s="33">
        <v>14137268005.23</v>
      </c>
      <c r="R17" s="33">
        <v>3.8326471220767579E-2</v>
      </c>
      <c r="S17" s="34">
        <v>483649954107.78992</v>
      </c>
      <c r="T17" s="34">
        <v>32355283356.779991</v>
      </c>
      <c r="U17" s="34">
        <v>451294670751.01001</v>
      </c>
      <c r="V17" s="1">
        <v>45</v>
      </c>
    </row>
    <row r="18" spans="2:22" ht="14.4" thickBot="1" x14ac:dyDescent="0.35">
      <c r="H18" s="35"/>
      <c r="J18" s="36"/>
    </row>
    <row r="19" spans="2:22" ht="14.4" thickBot="1" x14ac:dyDescent="0.35">
      <c r="B19" s="73" t="s">
        <v>36</v>
      </c>
      <c r="C19" s="24">
        <f>+C16-C17</f>
        <v>0</v>
      </c>
      <c r="D19" s="25">
        <f>+D16-D17</f>
        <v>8</v>
      </c>
      <c r="E19" s="25">
        <f>+E16-E17</f>
        <v>-7</v>
      </c>
      <c r="F19" s="25">
        <f t="shared" ref="F19:U19" si="9">+F16-F17</f>
        <v>-8</v>
      </c>
      <c r="G19" s="26">
        <f>+G16-G17</f>
        <v>375991111.11999512</v>
      </c>
      <c r="H19" s="26">
        <f t="shared" si="9"/>
        <v>5279561112.1199951</v>
      </c>
      <c r="I19" s="26">
        <f t="shared" si="9"/>
        <v>9521297819</v>
      </c>
      <c r="J19" s="26">
        <f>+J16-J17</f>
        <v>-4903570001</v>
      </c>
      <c r="K19" s="26">
        <f t="shared" si="9"/>
        <v>0</v>
      </c>
      <c r="L19" s="26">
        <f>+L16-L17</f>
        <v>5989001710.1500244</v>
      </c>
      <c r="M19" s="27">
        <f t="shared" si="9"/>
        <v>5989001710.1500244</v>
      </c>
      <c r="N19" s="28">
        <f t="shared" si="9"/>
        <v>0</v>
      </c>
      <c r="O19" s="29">
        <f t="shared" si="9"/>
        <v>4.4392647112700412E-3</v>
      </c>
      <c r="P19" s="29">
        <f t="shared" si="9"/>
        <v>-9.4422741896829088E-3</v>
      </c>
      <c r="Q19" s="26">
        <f t="shared" si="9"/>
        <v>11945484780.830887</v>
      </c>
      <c r="R19" s="29">
        <f t="shared" si="9"/>
        <v>3.2384494550238514E-2</v>
      </c>
      <c r="S19" s="26">
        <f t="shared" si="9"/>
        <v>-709440598.02990723</v>
      </c>
      <c r="T19" s="26">
        <f t="shared" si="9"/>
        <v>102948587.85001373</v>
      </c>
      <c r="U19" s="37">
        <f t="shared" si="9"/>
        <v>-812389185.88000488</v>
      </c>
    </row>
    <row r="21" spans="2:22" x14ac:dyDescent="0.3">
      <c r="T21" s="74"/>
    </row>
    <row r="22" spans="2:22" x14ac:dyDescent="0.3">
      <c r="N22" s="35"/>
      <c r="T22" s="33">
        <v>-26668293631.070007</v>
      </c>
    </row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</sheetData>
  <mergeCells count="5">
    <mergeCell ref="B3:X3"/>
    <mergeCell ref="B6:B7"/>
    <mergeCell ref="C6:J6"/>
    <mergeCell ref="L6:R6"/>
    <mergeCell ref="S6:U6"/>
  </mergeCells>
  <conditionalFormatting sqref="B8:L14">
    <cfRule type="containsText" dxfId="84" priority="5" operator="containsText" text="Proyecto">
      <formula>NOT(ISERROR(SEARCH("Proyecto",B8)))</formula>
    </cfRule>
    <cfRule type="expression" dxfId="83" priority="6">
      <formula>#REF!="Total"</formula>
    </cfRule>
  </conditionalFormatting>
  <conditionalFormatting sqref="G16:M16 O16:X16">
    <cfRule type="containsText" dxfId="82" priority="15" operator="containsText" text="Proyecto">
      <formula>NOT(ISERROR(SEARCH("Proyecto",G16)))</formula>
    </cfRule>
  </conditionalFormatting>
  <conditionalFormatting sqref="G19:M19 O19:U19">
    <cfRule type="containsText" dxfId="81" priority="13" operator="containsText" text="Proyecto">
      <formula>NOT(ISERROR(SEARCH("Proyecto",G19)))</formula>
    </cfRule>
    <cfRule type="expression" dxfId="80" priority="14">
      <formula>#REF!="Total"</formula>
    </cfRule>
  </conditionalFormatting>
  <conditionalFormatting sqref="Q8:Q14 G16:M16 O16:X16">
    <cfRule type="expression" dxfId="79" priority="17">
      <formula>#REF!="Total"</formula>
    </cfRule>
  </conditionalFormatting>
  <conditionalFormatting sqref="Q8:Q14">
    <cfRule type="containsText" dxfId="78" priority="16" operator="containsText" text="Proyecto">
      <formula>NOT(ISERROR(SEARCH("Proyecto",Q8)))</formula>
    </cfRule>
  </conditionalFormatting>
  <conditionalFormatting sqref="S17:U17">
    <cfRule type="containsText" dxfId="77" priority="11" operator="containsText" text="Proyecto">
      <formula>NOT(ISERROR(SEARCH("Proyecto",S17)))</formula>
    </cfRule>
    <cfRule type="expression" dxfId="76" priority="12">
      <formula>#REF!="Total"</formula>
    </cfRule>
  </conditionalFormatting>
  <conditionalFormatting sqref="S8:W14">
    <cfRule type="containsText" dxfId="75" priority="1" operator="containsText" text="Proyecto">
      <formula>NOT(ISERROR(SEARCH("Proyecto",S8)))</formula>
    </cfRule>
    <cfRule type="expression" dxfId="74" priority="2">
      <formula>#REF!="Total"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407E-6321-47A2-B509-3D53609F42A5}">
  <dimension ref="B1:X22"/>
  <sheetViews>
    <sheetView topLeftCell="B5" workbookViewId="0">
      <selection activeCell="G10" sqref="G10"/>
    </sheetView>
  </sheetViews>
  <sheetFormatPr baseColWidth="10" defaultRowHeight="14.4" x14ac:dyDescent="0.3"/>
  <cols>
    <col min="1" max="1" width="4.6640625" customWidth="1"/>
    <col min="2" max="2" width="31" bestFit="1" customWidth="1"/>
    <col min="7" max="7" width="12.33203125" bestFit="1" customWidth="1"/>
    <col min="11" max="12" width="12" bestFit="1" customWidth="1"/>
    <col min="13" max="13" width="18.33203125" bestFit="1" customWidth="1"/>
    <col min="14" max="14" width="11.109375" bestFit="1" customWidth="1"/>
    <col min="22" max="23" width="0" hidden="1" customWidth="1"/>
  </cols>
  <sheetData>
    <row r="1" spans="2:24" ht="15" thickBot="1" x14ac:dyDescent="0.35">
      <c r="B1" s="157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9"/>
    </row>
    <row r="2" spans="2:24" x14ac:dyDescent="0.3">
      <c r="B2" s="1"/>
      <c r="C2" s="1"/>
      <c r="D2" s="1"/>
      <c r="E2" s="1"/>
      <c r="F2" s="1"/>
      <c r="G2" s="1"/>
      <c r="H2" s="1"/>
      <c r="I2" s="1"/>
      <c r="J2" s="1"/>
      <c r="K2" s="9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ht="15" thickBot="1" x14ac:dyDescent="0.35">
      <c r="B3" s="1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5" thickBot="1" x14ac:dyDescent="0.35">
      <c r="B4" s="152" t="s">
        <v>2</v>
      </c>
      <c r="C4" s="160" t="s">
        <v>3</v>
      </c>
      <c r="D4" s="161"/>
      <c r="E4" s="161"/>
      <c r="F4" s="161"/>
      <c r="G4" s="161"/>
      <c r="H4" s="161"/>
      <c r="I4" s="161"/>
      <c r="J4" s="162"/>
      <c r="K4" s="2"/>
      <c r="L4" s="160" t="s">
        <v>4</v>
      </c>
      <c r="M4" s="161"/>
      <c r="N4" s="161"/>
      <c r="O4" s="161"/>
      <c r="P4" s="161"/>
      <c r="Q4" s="161"/>
      <c r="R4" s="162"/>
      <c r="S4" s="163" t="s">
        <v>5</v>
      </c>
      <c r="T4" s="163"/>
      <c r="U4" s="164"/>
      <c r="V4" s="3"/>
      <c r="W4" s="3"/>
      <c r="X4" s="2"/>
    </row>
    <row r="5" spans="2:24" ht="84.6" thickBot="1" x14ac:dyDescent="0.35">
      <c r="B5" s="153"/>
      <c r="C5" s="4" t="s">
        <v>6</v>
      </c>
      <c r="D5" s="4" t="s">
        <v>7</v>
      </c>
      <c r="E5" s="5" t="s">
        <v>8</v>
      </c>
      <c r="F5" s="5" t="s">
        <v>42</v>
      </c>
      <c r="G5" s="5" t="s">
        <v>10</v>
      </c>
      <c r="H5" s="5" t="s">
        <v>11</v>
      </c>
      <c r="I5" s="5" t="s">
        <v>12</v>
      </c>
      <c r="J5" s="4" t="s">
        <v>13</v>
      </c>
      <c r="K5" s="6" t="s">
        <v>14</v>
      </c>
      <c r="L5" s="7" t="s">
        <v>15</v>
      </c>
      <c r="M5" s="8" t="s">
        <v>16</v>
      </c>
      <c r="N5" s="8" t="s">
        <v>17</v>
      </c>
      <c r="O5" s="9" t="s">
        <v>18</v>
      </c>
      <c r="P5" s="9" t="s">
        <v>19</v>
      </c>
      <c r="Q5" s="9" t="s">
        <v>20</v>
      </c>
      <c r="R5" s="10" t="s">
        <v>21</v>
      </c>
      <c r="S5" s="11" t="s">
        <v>22</v>
      </c>
      <c r="T5" s="11" t="s">
        <v>23</v>
      </c>
      <c r="U5" s="11" t="s">
        <v>24</v>
      </c>
      <c r="V5" s="12" t="s">
        <v>25</v>
      </c>
      <c r="W5" s="12" t="s">
        <v>26</v>
      </c>
      <c r="X5" s="12" t="s">
        <v>27</v>
      </c>
    </row>
    <row r="6" spans="2:24" ht="15" thickBot="1" x14ac:dyDescent="0.35">
      <c r="B6" s="71" t="s">
        <v>28</v>
      </c>
      <c r="C6" s="38">
        <v>303</v>
      </c>
      <c r="D6" s="39">
        <v>297</v>
      </c>
      <c r="E6" s="39">
        <v>297</v>
      </c>
      <c r="F6" s="59">
        <f>C6-D6</f>
        <v>6</v>
      </c>
      <c r="G6" s="40">
        <f>H6+J6</f>
        <v>134616226192</v>
      </c>
      <c r="H6" s="41">
        <f t="shared" ref="H6:H12" si="0">L6+S6</f>
        <v>130020172892</v>
      </c>
      <c r="I6" s="41">
        <v>97759664631</v>
      </c>
      <c r="J6" s="42">
        <v>4596053300</v>
      </c>
      <c r="K6" s="53">
        <v>129608832703.79001</v>
      </c>
      <c r="L6" s="54">
        <f t="shared" ref="L6:L9" si="1">M6+N6</f>
        <v>127031205105.74001</v>
      </c>
      <c r="M6" s="89">
        <v>127031205105.74001</v>
      </c>
      <c r="N6" s="13">
        <v>0</v>
      </c>
      <c r="O6" s="14">
        <f>L6/H6</f>
        <v>0.97701150737014675</v>
      </c>
      <c r="P6" s="14">
        <f>M6/I6</f>
        <v>1.2994234952137702</v>
      </c>
      <c r="Q6" s="41">
        <v>256834713.04999995</v>
      </c>
      <c r="R6" s="18">
        <f t="shared" ref="R6:R10" si="2">Q6/K6</f>
        <v>1.9816142749852078E-3</v>
      </c>
      <c r="S6" s="45">
        <f>T6+U6</f>
        <v>2988967786.2599945</v>
      </c>
      <c r="T6" s="51">
        <v>0</v>
      </c>
      <c r="U6" s="41">
        <f>32260508261+T20</f>
        <v>2988967786.2599945</v>
      </c>
      <c r="V6" s="46">
        <v>12</v>
      </c>
      <c r="W6" s="14" t="e">
        <f>V6/#REF!</f>
        <v>#REF!</v>
      </c>
      <c r="X6" s="47">
        <v>45991</v>
      </c>
    </row>
    <row r="7" spans="2:24" ht="15" thickBot="1" x14ac:dyDescent="0.35">
      <c r="B7" s="72" t="s">
        <v>29</v>
      </c>
      <c r="C7" s="48">
        <v>293</v>
      </c>
      <c r="D7" s="49">
        <v>283</v>
      </c>
      <c r="E7" s="49">
        <v>283</v>
      </c>
      <c r="F7" s="59">
        <f>C7-D7</f>
        <v>10</v>
      </c>
      <c r="G7" s="40">
        <f>H7+J7</f>
        <v>161854475013</v>
      </c>
      <c r="H7" s="51">
        <f t="shared" si="0"/>
        <v>154239522711</v>
      </c>
      <c r="I7" s="51">
        <v>92810145122.800003</v>
      </c>
      <c r="J7" s="52">
        <v>7614952302</v>
      </c>
      <c r="K7" s="53">
        <v>102459737657.2</v>
      </c>
      <c r="L7" s="54">
        <f t="shared" si="1"/>
        <v>98055491339.559998</v>
      </c>
      <c r="M7" s="90">
        <v>98055491339.559998</v>
      </c>
      <c r="N7" s="16">
        <v>0</v>
      </c>
      <c r="O7" s="17">
        <f t="shared" ref="O7:P11" si="3">L7/H7</f>
        <v>0.63573518392745199</v>
      </c>
      <c r="P7" s="17">
        <f>M7/I7</f>
        <v>1.0565169487648114</v>
      </c>
      <c r="Q7" s="51">
        <v>20668660791</v>
      </c>
      <c r="R7" s="18">
        <f t="shared" si="2"/>
        <v>0.20172470927215558</v>
      </c>
      <c r="S7" s="55">
        <f t="shared" ref="S7:S12" si="4">T7+U7</f>
        <v>56184031371.440002</v>
      </c>
      <c r="T7" s="51">
        <v>0</v>
      </c>
      <c r="U7" s="51">
        <f>61429377588.2+T22</f>
        <v>56184031371.440002</v>
      </c>
      <c r="V7" s="56">
        <v>2</v>
      </c>
      <c r="W7" s="17" t="e">
        <f>V7/#REF!</f>
        <v>#REF!</v>
      </c>
      <c r="X7" s="47">
        <v>45991</v>
      </c>
    </row>
    <row r="8" spans="2:24" ht="15" thickBot="1" x14ac:dyDescent="0.35">
      <c r="B8" s="72" t="s">
        <v>30</v>
      </c>
      <c r="C8" s="48">
        <v>312</v>
      </c>
      <c r="D8" s="49">
        <v>298</v>
      </c>
      <c r="E8" s="49">
        <v>300</v>
      </c>
      <c r="F8" s="59">
        <f t="shared" ref="F8:F12" si="5">C8-D8</f>
        <v>14</v>
      </c>
      <c r="G8" s="50">
        <f t="shared" ref="G8:G12" si="6">H8+J8</f>
        <v>178016430478</v>
      </c>
      <c r="H8" s="51">
        <f t="shared" si="0"/>
        <v>168404051314</v>
      </c>
      <c r="I8" s="51">
        <v>61961615656</v>
      </c>
      <c r="J8" s="52">
        <v>9612379164</v>
      </c>
      <c r="K8" s="53">
        <v>59479261184</v>
      </c>
      <c r="L8" s="54">
        <f t="shared" si="1"/>
        <v>58947976698.650002</v>
      </c>
      <c r="M8" s="91">
        <v>58947976698.650002</v>
      </c>
      <c r="N8" s="16">
        <v>0</v>
      </c>
      <c r="O8" s="17">
        <f t="shared" si="3"/>
        <v>0.35003894644278938</v>
      </c>
      <c r="P8" s="17">
        <f t="shared" si="3"/>
        <v>0.95136280864461009</v>
      </c>
      <c r="Q8" s="51">
        <v>128979223</v>
      </c>
      <c r="R8" s="18">
        <f t="shared" si="2"/>
        <v>2.1684738584933127E-3</v>
      </c>
      <c r="S8" s="55">
        <f t="shared" si="4"/>
        <v>109456074615.35001</v>
      </c>
      <c r="T8" s="51">
        <f t="shared" ref="T8:T11" si="7">+I8-L8</f>
        <v>3013638957.3499985</v>
      </c>
      <c r="U8" s="51">
        <v>106442435658</v>
      </c>
      <c r="V8" s="56">
        <v>11</v>
      </c>
      <c r="W8" s="17" t="e">
        <f>V8/#REF!</f>
        <v>#REF!</v>
      </c>
      <c r="X8" s="47">
        <v>45991</v>
      </c>
    </row>
    <row r="9" spans="2:24" ht="15" thickBot="1" x14ac:dyDescent="0.35">
      <c r="B9" s="72" t="s">
        <v>31</v>
      </c>
      <c r="C9" s="48">
        <v>231</v>
      </c>
      <c r="D9" s="49">
        <v>196</v>
      </c>
      <c r="E9" s="49">
        <v>201</v>
      </c>
      <c r="F9" s="59">
        <f>C9-D9</f>
        <v>35</v>
      </c>
      <c r="G9" s="50">
        <f>H9+J9</f>
        <v>141223013753</v>
      </c>
      <c r="H9" s="51">
        <f t="shared" si="0"/>
        <v>113561664761</v>
      </c>
      <c r="I9" s="51">
        <v>35103568775</v>
      </c>
      <c r="J9" s="52">
        <v>27661348992</v>
      </c>
      <c r="K9" s="53">
        <v>31178683849</v>
      </c>
      <c r="L9" s="54">
        <f t="shared" si="1"/>
        <v>30413767819.100002</v>
      </c>
      <c r="M9" s="91">
        <v>30413767819.100002</v>
      </c>
      <c r="N9" s="16">
        <v>0</v>
      </c>
      <c r="O9" s="17">
        <f>L9/H9</f>
        <v>0.26781720647639601</v>
      </c>
      <c r="P9" s="17">
        <f t="shared" si="3"/>
        <v>0.86640102076345094</v>
      </c>
      <c r="Q9" s="51">
        <v>201226123</v>
      </c>
      <c r="R9" s="18">
        <f>Q9/K9</f>
        <v>6.4539646373319879E-3</v>
      </c>
      <c r="S9" s="55">
        <f t="shared" si="4"/>
        <v>83147896941.899994</v>
      </c>
      <c r="T9" s="51">
        <f t="shared" si="7"/>
        <v>4689800955.8999977</v>
      </c>
      <c r="U9" s="51">
        <v>78458095986</v>
      </c>
      <c r="V9" s="56">
        <v>9</v>
      </c>
      <c r="W9" s="17" t="e">
        <f>V9/#REF!</f>
        <v>#REF!</v>
      </c>
      <c r="X9" s="47">
        <v>45991</v>
      </c>
    </row>
    <row r="10" spans="2:24" ht="15" thickBot="1" x14ac:dyDescent="0.35">
      <c r="B10" s="72" t="s">
        <v>32</v>
      </c>
      <c r="C10" s="48">
        <v>237</v>
      </c>
      <c r="D10" s="49">
        <v>220</v>
      </c>
      <c r="E10" s="49">
        <v>220</v>
      </c>
      <c r="F10" s="59">
        <f>C10-D10</f>
        <v>17</v>
      </c>
      <c r="G10" s="50">
        <f>H10+J10</f>
        <v>175180040613</v>
      </c>
      <c r="H10" s="51">
        <f t="shared" si="0"/>
        <v>160595617745</v>
      </c>
      <c r="I10" s="51">
        <v>48539097015</v>
      </c>
      <c r="J10" s="52">
        <v>14584422868</v>
      </c>
      <c r="K10" s="53">
        <v>38052072161</v>
      </c>
      <c r="L10" s="54">
        <f>M10+N10</f>
        <v>37937372761.949997</v>
      </c>
      <c r="M10" s="91">
        <v>37937372761.949997</v>
      </c>
      <c r="N10" s="16">
        <v>0</v>
      </c>
      <c r="O10" s="17">
        <f t="shared" si="3"/>
        <v>0.2362291904016238</v>
      </c>
      <c r="P10" s="17">
        <f>M10/I10</f>
        <v>0.78158381789068387</v>
      </c>
      <c r="Q10" s="51">
        <v>260848076</v>
      </c>
      <c r="R10" s="18">
        <f t="shared" si="2"/>
        <v>6.8550294684699498E-3</v>
      </c>
      <c r="S10" s="55">
        <f t="shared" si="4"/>
        <v>122658244983.05</v>
      </c>
      <c r="T10" s="51">
        <f t="shared" si="7"/>
        <v>10601724253.050003</v>
      </c>
      <c r="U10" s="51">
        <v>112056520730</v>
      </c>
      <c r="V10" s="56">
        <v>6</v>
      </c>
      <c r="W10" s="17" t="e">
        <f>V10/#REF!</f>
        <v>#REF!</v>
      </c>
      <c r="X10" s="47">
        <v>45991</v>
      </c>
    </row>
    <row r="11" spans="2:24" ht="15" thickBot="1" x14ac:dyDescent="0.35">
      <c r="B11" s="72" t="s">
        <v>33</v>
      </c>
      <c r="C11" s="48">
        <v>151</v>
      </c>
      <c r="D11" s="49">
        <v>97</v>
      </c>
      <c r="E11" s="49">
        <v>114</v>
      </c>
      <c r="F11" s="59">
        <f t="shared" si="5"/>
        <v>54</v>
      </c>
      <c r="G11" s="50">
        <f t="shared" si="6"/>
        <v>122865821253</v>
      </c>
      <c r="H11" s="51">
        <f t="shared" si="0"/>
        <v>68335821142</v>
      </c>
      <c r="I11" s="51">
        <v>20100639422</v>
      </c>
      <c r="J11" s="52">
        <v>54530000111</v>
      </c>
      <c r="K11" s="53">
        <v>4894020130</v>
      </c>
      <c r="L11" s="54">
        <f>M11+N11</f>
        <v>4739026682.7299995</v>
      </c>
      <c r="M11" s="91">
        <v>4739026682.7299995</v>
      </c>
      <c r="N11" s="16">
        <v>0</v>
      </c>
      <c r="O11" s="17">
        <f>L11/H11</f>
        <v>6.9349085202070365E-2</v>
      </c>
      <c r="P11" s="17">
        <f t="shared" si="3"/>
        <v>0.23576497161295129</v>
      </c>
      <c r="Q11" s="51">
        <v>144569694</v>
      </c>
      <c r="R11" s="18">
        <f>Q11/K11</f>
        <v>2.9540069341725411E-2</v>
      </c>
      <c r="S11" s="55">
        <f t="shared" si="4"/>
        <v>63596794459.270004</v>
      </c>
      <c r="T11" s="51">
        <f t="shared" si="7"/>
        <v>15361612739.27</v>
      </c>
      <c r="U11" s="51">
        <v>48235181720</v>
      </c>
      <c r="V11" s="56">
        <v>5</v>
      </c>
      <c r="W11" s="17" t="e">
        <f>V11/#REF!</f>
        <v>#REF!</v>
      </c>
      <c r="X11" s="47">
        <v>45991</v>
      </c>
    </row>
    <row r="12" spans="2:24" ht="15" thickBot="1" x14ac:dyDescent="0.35">
      <c r="B12" s="72" t="s">
        <v>34</v>
      </c>
      <c r="C12" s="58">
        <v>263</v>
      </c>
      <c r="D12" s="59">
        <v>126</v>
      </c>
      <c r="E12" s="59">
        <v>184</v>
      </c>
      <c r="F12" s="59">
        <f t="shared" si="5"/>
        <v>137</v>
      </c>
      <c r="G12" s="60">
        <f t="shared" si="6"/>
        <v>116999859503</v>
      </c>
      <c r="H12" s="41">
        <f t="shared" si="0"/>
        <v>47623377216</v>
      </c>
      <c r="I12" s="61">
        <v>16368763387</v>
      </c>
      <c r="J12" s="62">
        <v>69376482287</v>
      </c>
      <c r="K12" s="63">
        <v>15343101985</v>
      </c>
      <c r="L12" s="54">
        <f>M12+N12</f>
        <v>15060214429.659998</v>
      </c>
      <c r="M12" s="92">
        <v>15060214429.659998</v>
      </c>
      <c r="N12" s="21">
        <v>0</v>
      </c>
      <c r="O12" s="22">
        <f>L12/H12</f>
        <v>0.31623575038269702</v>
      </c>
      <c r="P12" s="22">
        <f>M12/I12</f>
        <v>0.92005816649660621</v>
      </c>
      <c r="Q12" s="61">
        <v>718192088</v>
      </c>
      <c r="R12" s="23">
        <f>Q12/K12</f>
        <v>4.6808793208969864E-2</v>
      </c>
      <c r="S12" s="65">
        <f t="shared" si="4"/>
        <v>32563162786.340004</v>
      </c>
      <c r="T12" s="61">
        <f>+I12-L12</f>
        <v>1308548957.3400021</v>
      </c>
      <c r="U12" s="61">
        <v>31254613829</v>
      </c>
      <c r="V12" s="66">
        <v>0</v>
      </c>
      <c r="W12" s="22" t="e">
        <f>V12/#REF!</f>
        <v>#REF!</v>
      </c>
      <c r="X12" s="47">
        <v>45991</v>
      </c>
    </row>
    <row r="13" spans="2:24" ht="15" thickBo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ht="15" thickBot="1" x14ac:dyDescent="0.35">
      <c r="B14" s="73" t="s">
        <v>35</v>
      </c>
      <c r="C14" s="24">
        <f t="shared" ref="C14:N14" si="8">SUM(C6:C12)</f>
        <v>1790</v>
      </c>
      <c r="D14" s="25">
        <f t="shared" si="8"/>
        <v>1517</v>
      </c>
      <c r="E14" s="25">
        <f>SUM(E6:E12)</f>
        <v>1599</v>
      </c>
      <c r="F14" s="25">
        <f t="shared" si="8"/>
        <v>273</v>
      </c>
      <c r="G14" s="26">
        <f t="shared" si="8"/>
        <v>1030755866805</v>
      </c>
      <c r="H14" s="26">
        <f>SUM(H6:H12)</f>
        <v>842780227781</v>
      </c>
      <c r="I14" s="26">
        <f t="shared" si="8"/>
        <v>372643494008.79999</v>
      </c>
      <c r="J14" s="26">
        <f t="shared" si="8"/>
        <v>187975639024</v>
      </c>
      <c r="K14" s="26">
        <f t="shared" si="8"/>
        <v>381015709669.98999</v>
      </c>
      <c r="L14" s="26">
        <f t="shared" si="8"/>
        <v>372185054837.38995</v>
      </c>
      <c r="M14" s="27">
        <f t="shared" si="8"/>
        <v>372185054837.38995</v>
      </c>
      <c r="N14" s="28">
        <f t="shared" si="8"/>
        <v>0</v>
      </c>
      <c r="O14" s="29">
        <f>L14/H14</f>
        <v>0.44161578851622491</v>
      </c>
      <c r="P14" s="29">
        <f>M14/I14</f>
        <v>0.99876976472478218</v>
      </c>
      <c r="Q14" s="26">
        <f>SUM(Q6:Q12)</f>
        <v>22379310708.049999</v>
      </c>
      <c r="R14" s="29">
        <f>+Q14/K14</f>
        <v>5.8735926472515902E-2</v>
      </c>
      <c r="S14" s="26">
        <f>SUM(S6:S12)</f>
        <v>470595172943.61005</v>
      </c>
      <c r="T14" s="26">
        <f>SUM(T6:T12)</f>
        <v>34975325862.910004</v>
      </c>
      <c r="U14" s="26">
        <f>SUM(U6:U12)</f>
        <v>435619847080.70001</v>
      </c>
      <c r="V14" s="30">
        <f>SUM(V6:V12)</f>
        <v>45</v>
      </c>
      <c r="W14" s="30"/>
      <c r="X14" s="31"/>
    </row>
    <row r="15" spans="2:24" x14ac:dyDescent="0.3">
      <c r="B15" s="1"/>
      <c r="C15" s="32">
        <v>1790</v>
      </c>
      <c r="D15" s="33">
        <v>1519</v>
      </c>
      <c r="E15" s="33">
        <v>1567</v>
      </c>
      <c r="F15" s="33">
        <v>271</v>
      </c>
      <c r="G15" s="33">
        <v>1029375001762</v>
      </c>
      <c r="H15" s="33">
        <v>844889178632</v>
      </c>
      <c r="I15" s="33">
        <v>367738603435.79999</v>
      </c>
      <c r="J15" s="33">
        <v>184485823130</v>
      </c>
      <c r="K15" s="33">
        <v>368864326793.78998</v>
      </c>
      <c r="L15" s="33">
        <v>361948665122.23999</v>
      </c>
      <c r="M15" s="33">
        <v>361948665122.23999</v>
      </c>
      <c r="N15" s="33">
        <v>0</v>
      </c>
      <c r="O15" s="33">
        <v>0.42839779970704345</v>
      </c>
      <c r="P15" s="33">
        <v>0.98425528824152719</v>
      </c>
      <c r="Q15" s="33">
        <v>26082752786.060886</v>
      </c>
      <c r="R15" s="33">
        <v>7.0710965771006093E-2</v>
      </c>
      <c r="S15" s="34">
        <v>482940513509.76001</v>
      </c>
      <c r="T15" s="34">
        <v>32458231944.630005</v>
      </c>
      <c r="U15" s="34">
        <v>450482281565.13</v>
      </c>
      <c r="V15" s="1">
        <v>45</v>
      </c>
      <c r="W15" s="1"/>
      <c r="X15" s="1"/>
    </row>
    <row r="16" spans="2:24" ht="15" thickBot="1" x14ac:dyDescent="0.35">
      <c r="B16" s="1"/>
      <c r="C16" s="1"/>
      <c r="D16" s="1"/>
      <c r="E16" s="1"/>
      <c r="F16" s="1"/>
      <c r="G16" s="1"/>
      <c r="H16" s="35"/>
      <c r="I16" s="1"/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ht="15" thickBot="1" x14ac:dyDescent="0.35">
      <c r="B17" s="73" t="s">
        <v>36</v>
      </c>
      <c r="C17" s="24">
        <f>+C14-C15</f>
        <v>0</v>
      </c>
      <c r="D17" s="25">
        <f>+D14-D15</f>
        <v>-2</v>
      </c>
      <c r="E17" s="25">
        <f t="shared" ref="E17:U17" si="9">+E14-E15</f>
        <v>32</v>
      </c>
      <c r="F17" s="25">
        <f>+F14-F15</f>
        <v>2</v>
      </c>
      <c r="G17" s="26">
        <f>+G14-G15</f>
        <v>1380865043</v>
      </c>
      <c r="H17" s="26">
        <f t="shared" si="9"/>
        <v>-2108950851</v>
      </c>
      <c r="I17" s="26">
        <f t="shared" si="9"/>
        <v>4904890573</v>
      </c>
      <c r="J17" s="26">
        <f>+J14-J15</f>
        <v>3489815894</v>
      </c>
      <c r="K17" s="26">
        <f t="shared" si="9"/>
        <v>12151382876.200012</v>
      </c>
      <c r="L17" s="26">
        <f>+L14-L15</f>
        <v>10236389715.149963</v>
      </c>
      <c r="M17" s="27">
        <f t="shared" si="9"/>
        <v>10236389715.149963</v>
      </c>
      <c r="N17" s="28">
        <f t="shared" si="9"/>
        <v>0</v>
      </c>
      <c r="O17" s="29">
        <f t="shared" si="9"/>
        <v>1.3217988809181458E-2</v>
      </c>
      <c r="P17" s="29">
        <f t="shared" si="9"/>
        <v>1.451447648325499E-2</v>
      </c>
      <c r="Q17" s="26">
        <f t="shared" si="9"/>
        <v>-3703442078.0108871</v>
      </c>
      <c r="R17" s="29">
        <f t="shared" si="9"/>
        <v>-1.1975039298490191E-2</v>
      </c>
      <c r="S17" s="26">
        <f t="shared" si="9"/>
        <v>-12345340566.149963</v>
      </c>
      <c r="T17" s="26">
        <f t="shared" si="9"/>
        <v>2517093918.2799988</v>
      </c>
      <c r="U17" s="37">
        <f t="shared" si="9"/>
        <v>-14862434484.429993</v>
      </c>
      <c r="V17" s="1"/>
      <c r="W17" s="1"/>
      <c r="X17" s="1"/>
    </row>
    <row r="18" spans="2:2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74"/>
      <c r="U19" s="1"/>
      <c r="V19" s="1"/>
      <c r="W19" s="1"/>
      <c r="X19" s="1"/>
    </row>
    <row r="20" spans="2:24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5"/>
      <c r="O20" s="1"/>
      <c r="P20" s="1"/>
      <c r="Q20" s="1"/>
      <c r="R20" s="1"/>
      <c r="S20" s="1"/>
      <c r="T20" s="33">
        <v>-29271540474.740005</v>
      </c>
      <c r="U20" s="1"/>
      <c r="V20" s="1"/>
      <c r="W20" s="1"/>
      <c r="X20" s="1"/>
    </row>
    <row r="21" spans="2:24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01"/>
      <c r="U21" s="1"/>
      <c r="V21" s="1"/>
      <c r="W21" s="1"/>
      <c r="X21" s="1"/>
    </row>
    <row r="22" spans="2:24" x14ac:dyDescent="0.3">
      <c r="T22" s="33">
        <v>-5245346216.7599945</v>
      </c>
    </row>
  </sheetData>
  <mergeCells count="5">
    <mergeCell ref="B1:X1"/>
    <mergeCell ref="B4:B5"/>
    <mergeCell ref="C4:J4"/>
    <mergeCell ref="L4:R4"/>
    <mergeCell ref="S4:U4"/>
  </mergeCells>
  <conditionalFormatting sqref="B6:L12">
    <cfRule type="containsText" dxfId="73" priority="5" operator="containsText" text="Proyecto">
      <formula>NOT(ISERROR(SEARCH("Proyecto",B6)))</formula>
    </cfRule>
    <cfRule type="expression" dxfId="72" priority="6">
      <formula>#REF!="Total"</formula>
    </cfRule>
  </conditionalFormatting>
  <conditionalFormatting sqref="G14:M14 O14:X14">
    <cfRule type="containsText" dxfId="71" priority="11" operator="containsText" text="Proyecto">
      <formula>NOT(ISERROR(SEARCH("Proyecto",G14)))</formula>
    </cfRule>
  </conditionalFormatting>
  <conditionalFormatting sqref="G17:M17 O17:U17">
    <cfRule type="containsText" dxfId="70" priority="9" operator="containsText" text="Proyecto">
      <formula>NOT(ISERROR(SEARCH("Proyecto",G17)))</formula>
    </cfRule>
    <cfRule type="expression" dxfId="69" priority="10">
      <formula>#REF!="Total"</formula>
    </cfRule>
  </conditionalFormatting>
  <conditionalFormatting sqref="Q6:Q12 G14:M14 O14:X14">
    <cfRule type="expression" dxfId="68" priority="13">
      <formula>#REF!="Total"</formula>
    </cfRule>
  </conditionalFormatting>
  <conditionalFormatting sqref="Q6:Q12">
    <cfRule type="containsText" dxfId="67" priority="12" operator="containsText" text="Proyecto">
      <formula>NOT(ISERROR(SEARCH("Proyecto",Q6)))</formula>
    </cfRule>
  </conditionalFormatting>
  <conditionalFormatting sqref="S15:U15">
    <cfRule type="containsText" dxfId="66" priority="7" operator="containsText" text="Proyecto">
      <formula>NOT(ISERROR(SEARCH("Proyecto",S15)))</formula>
    </cfRule>
    <cfRule type="expression" dxfId="65" priority="8">
      <formula>#REF!="Total"</formula>
    </cfRule>
  </conditionalFormatting>
  <conditionalFormatting sqref="S6:W12">
    <cfRule type="containsText" dxfId="64" priority="1" operator="containsText" text="Proyecto">
      <formula>NOT(ISERROR(SEARCH("Proyecto",S6)))</formula>
    </cfRule>
    <cfRule type="expression" dxfId="63" priority="2">
      <formula>#REF!="Total"</formula>
    </cfRule>
  </conditionalFormatting>
  <conditionalFormatting sqref="T21">
    <cfRule type="containsText" dxfId="62" priority="3" operator="containsText" text="Proyecto">
      <formula>NOT(ISERROR(SEARCH("Proyecto",T21)))</formula>
    </cfRule>
    <cfRule type="expression" dxfId="61" priority="4">
      <formula>#REF!="Total"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CED6-6FF7-47A0-9BBE-2E014739131A}">
  <dimension ref="B1:X23"/>
  <sheetViews>
    <sheetView topLeftCell="B2" workbookViewId="0">
      <selection activeCell="Q7" sqref="Q7"/>
    </sheetView>
  </sheetViews>
  <sheetFormatPr baseColWidth="10" defaultRowHeight="14.4" x14ac:dyDescent="0.3"/>
  <cols>
    <col min="1" max="1" width="4.6640625" customWidth="1"/>
    <col min="2" max="2" width="31" bestFit="1" customWidth="1"/>
    <col min="7" max="7" width="15.5546875" bestFit="1" customWidth="1"/>
    <col min="11" max="11" width="12" hidden="1" customWidth="1"/>
    <col min="13" max="13" width="18.33203125" hidden="1" customWidth="1"/>
    <col min="14" max="14" width="11.109375" hidden="1" customWidth="1"/>
    <col min="22" max="23" width="0" hidden="1" customWidth="1"/>
    <col min="26" max="26" width="12" bestFit="1" customWidth="1"/>
  </cols>
  <sheetData>
    <row r="1" spans="2:24" ht="15" thickBot="1" x14ac:dyDescent="0.35">
      <c r="B1" s="157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9"/>
    </row>
    <row r="2" spans="2:24" x14ac:dyDescent="0.3">
      <c r="B2" s="1"/>
      <c r="C2" s="1"/>
      <c r="D2" s="1"/>
      <c r="E2" s="1"/>
      <c r="F2" s="1"/>
      <c r="G2" s="1"/>
      <c r="H2" s="1"/>
      <c r="I2" s="1"/>
      <c r="J2" s="1"/>
      <c r="K2" s="9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ht="15" thickBot="1" x14ac:dyDescent="0.35">
      <c r="B3" s="1" t="s">
        <v>45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5" thickBot="1" x14ac:dyDescent="0.35">
      <c r="B4" s="152" t="s">
        <v>2</v>
      </c>
      <c r="C4" s="160" t="s">
        <v>3</v>
      </c>
      <c r="D4" s="161"/>
      <c r="E4" s="161"/>
      <c r="F4" s="161"/>
      <c r="G4" s="161"/>
      <c r="H4" s="161"/>
      <c r="I4" s="161"/>
      <c r="J4" s="162"/>
      <c r="K4" s="2"/>
      <c r="L4" s="160" t="s">
        <v>4</v>
      </c>
      <c r="M4" s="161"/>
      <c r="N4" s="161"/>
      <c r="O4" s="161"/>
      <c r="P4" s="161"/>
      <c r="Q4" s="161"/>
      <c r="R4" s="162"/>
      <c r="S4" s="163" t="s">
        <v>5</v>
      </c>
      <c r="T4" s="163"/>
      <c r="U4" s="164"/>
      <c r="V4" s="3"/>
      <c r="W4" s="3"/>
      <c r="X4" s="2"/>
    </row>
    <row r="5" spans="2:24" ht="84.6" thickBot="1" x14ac:dyDescent="0.35">
      <c r="B5" s="153"/>
      <c r="C5" s="4" t="s">
        <v>6</v>
      </c>
      <c r="D5" s="4" t="s">
        <v>7</v>
      </c>
      <c r="E5" s="5" t="s">
        <v>8</v>
      </c>
      <c r="F5" s="5" t="s">
        <v>42</v>
      </c>
      <c r="G5" s="5" t="s">
        <v>10</v>
      </c>
      <c r="H5" s="5" t="s">
        <v>11</v>
      </c>
      <c r="I5" s="5" t="s">
        <v>12</v>
      </c>
      <c r="J5" s="4" t="s">
        <v>13</v>
      </c>
      <c r="K5" s="6" t="s">
        <v>14</v>
      </c>
      <c r="L5" s="7" t="s">
        <v>15</v>
      </c>
      <c r="M5" s="8" t="s">
        <v>16</v>
      </c>
      <c r="N5" s="8" t="s">
        <v>17</v>
      </c>
      <c r="O5" s="9" t="s">
        <v>18</v>
      </c>
      <c r="P5" s="9" t="s">
        <v>19</v>
      </c>
      <c r="Q5" s="9" t="s">
        <v>20</v>
      </c>
      <c r="R5" s="10" t="s">
        <v>21</v>
      </c>
      <c r="S5" s="11" t="s">
        <v>22</v>
      </c>
      <c r="T5" s="11" t="s">
        <v>23</v>
      </c>
      <c r="U5" s="11" t="s">
        <v>24</v>
      </c>
      <c r="V5" s="12" t="s">
        <v>25</v>
      </c>
      <c r="W5" s="12" t="s">
        <v>26</v>
      </c>
      <c r="X5" s="12" t="s">
        <v>27</v>
      </c>
    </row>
    <row r="6" spans="2:24" ht="15" thickBot="1" x14ac:dyDescent="0.35">
      <c r="B6" s="71" t="s">
        <v>28</v>
      </c>
      <c r="C6" s="38">
        <v>303</v>
      </c>
      <c r="D6" s="39">
        <v>297</v>
      </c>
      <c r="E6" s="39">
        <v>297</v>
      </c>
      <c r="F6" s="59">
        <f>C6-D6</f>
        <v>6</v>
      </c>
      <c r="G6" s="40">
        <f>H6+J6</f>
        <v>134268542746</v>
      </c>
      <c r="H6" s="41">
        <f t="shared" ref="H6:H12" si="0">L6+S6</f>
        <v>129802673898</v>
      </c>
      <c r="I6" s="41">
        <v>97883009263</v>
      </c>
      <c r="J6" s="42">
        <v>4465868848</v>
      </c>
      <c r="K6" s="53">
        <v>130017593703.79001</v>
      </c>
      <c r="L6" s="54">
        <f t="shared" ref="L6:L9" si="1">M6+N6</f>
        <v>127419966105.74001</v>
      </c>
      <c r="M6" s="89">
        <v>127419966105.74001</v>
      </c>
      <c r="N6" s="13">
        <v>0</v>
      </c>
      <c r="O6" s="14">
        <f>L6/H6</f>
        <v>0.98164361549183232</v>
      </c>
      <c r="P6" s="14">
        <f>M6/I6</f>
        <v>1.301757752087267</v>
      </c>
      <c r="Q6" s="41">
        <v>256834713.04999995</v>
      </c>
      <c r="R6" s="18">
        <f t="shared" ref="R6:R10" si="2">Q6/K6</f>
        <v>1.9753842978753209E-3</v>
      </c>
      <c r="S6" s="45">
        <f>T6+U6</f>
        <v>2382707792.2599945</v>
      </c>
      <c r="T6" s="51">
        <v>0</v>
      </c>
      <c r="U6" s="41">
        <f>31919664635+T20</f>
        <v>2382707792.2599945</v>
      </c>
      <c r="V6" s="46">
        <v>12</v>
      </c>
      <c r="W6" s="14" t="e">
        <f>V6/#REF!</f>
        <v>#REF!</v>
      </c>
      <c r="X6" s="47">
        <v>46021</v>
      </c>
    </row>
    <row r="7" spans="2:24" ht="15" thickBot="1" x14ac:dyDescent="0.35">
      <c r="B7" s="72" t="s">
        <v>29</v>
      </c>
      <c r="C7" s="48">
        <v>293</v>
      </c>
      <c r="D7" s="49">
        <v>285</v>
      </c>
      <c r="E7" s="49">
        <v>285</v>
      </c>
      <c r="F7" s="59">
        <f>C7-D7</f>
        <v>8</v>
      </c>
      <c r="G7" s="40">
        <f>H7+J7</f>
        <v>160782100188</v>
      </c>
      <c r="H7" s="51">
        <f t="shared" si="0"/>
        <v>154077435886</v>
      </c>
      <c r="I7" s="51">
        <v>94888106876.800003</v>
      </c>
      <c r="J7" s="52">
        <v>6704664302</v>
      </c>
      <c r="K7" s="53">
        <v>132802015414.11</v>
      </c>
      <c r="L7" s="54">
        <f t="shared" si="1"/>
        <v>104256587163</v>
      </c>
      <c r="M7" s="90">
        <v>104256587163</v>
      </c>
      <c r="N7" s="16">
        <v>0</v>
      </c>
      <c r="O7" s="17">
        <f t="shared" ref="O7:P11" si="3">L7/H7</f>
        <v>0.67665058523000188</v>
      </c>
      <c r="P7" s="17">
        <f>M7/I7</f>
        <v>1.0987318705637552</v>
      </c>
      <c r="Q7" s="51">
        <v>21900587179.110001</v>
      </c>
      <c r="R7" s="18">
        <f t="shared" si="2"/>
        <v>0.16491155733456661</v>
      </c>
      <c r="S7" s="55">
        <f t="shared" ref="S7:S12" si="4">T7+U7</f>
        <v>49820848723</v>
      </c>
      <c r="T7" s="51">
        <v>0</v>
      </c>
      <c r="U7" s="51">
        <f>59189329009.2+T23</f>
        <v>49820848723</v>
      </c>
      <c r="V7" s="56">
        <v>2</v>
      </c>
      <c r="W7" s="17" t="e">
        <f>V7/#REF!</f>
        <v>#REF!</v>
      </c>
      <c r="X7" s="47">
        <v>46021</v>
      </c>
    </row>
    <row r="8" spans="2:24" ht="15" thickBot="1" x14ac:dyDescent="0.35">
      <c r="B8" s="72" t="s">
        <v>30</v>
      </c>
      <c r="C8" s="48">
        <v>312</v>
      </c>
      <c r="D8" s="49">
        <v>297</v>
      </c>
      <c r="E8" s="49">
        <v>300</v>
      </c>
      <c r="F8" s="59">
        <f t="shared" ref="F8:F12" si="5">C8-D8</f>
        <v>15</v>
      </c>
      <c r="G8" s="50">
        <f t="shared" ref="G8:G12" si="6">H8+J8</f>
        <v>178756429398</v>
      </c>
      <c r="H8" s="51">
        <f t="shared" si="0"/>
        <v>167229312611</v>
      </c>
      <c r="I8" s="51">
        <v>62752804803</v>
      </c>
      <c r="J8" s="52">
        <v>11527116787</v>
      </c>
      <c r="K8" s="53">
        <v>59326344814</v>
      </c>
      <c r="L8" s="54">
        <f t="shared" si="1"/>
        <v>59175525239.209999</v>
      </c>
      <c r="M8" s="91">
        <v>59175525239.209999</v>
      </c>
      <c r="N8" s="16">
        <v>0</v>
      </c>
      <c r="O8" s="17">
        <f t="shared" si="3"/>
        <v>0.35385856890329376</v>
      </c>
      <c r="P8" s="17">
        <f t="shared" si="3"/>
        <v>0.94299410878891932</v>
      </c>
      <c r="Q8" s="51">
        <v>119730423</v>
      </c>
      <c r="R8" s="18">
        <f t="shared" si="2"/>
        <v>2.0181661852820853E-3</v>
      </c>
      <c r="S8" s="55">
        <f t="shared" si="4"/>
        <v>108053787371.79001</v>
      </c>
      <c r="T8" s="51">
        <f t="shared" ref="T8:T11" si="7">+I8-L8</f>
        <v>3577279563.7900009</v>
      </c>
      <c r="U8" s="51">
        <v>104476507808</v>
      </c>
      <c r="V8" s="56">
        <v>11</v>
      </c>
      <c r="W8" s="17" t="e">
        <f>V8/#REF!</f>
        <v>#REF!</v>
      </c>
      <c r="X8" s="47">
        <v>46021</v>
      </c>
    </row>
    <row r="9" spans="2:24" ht="15" thickBot="1" x14ac:dyDescent="0.35">
      <c r="B9" s="72" t="s">
        <v>31</v>
      </c>
      <c r="C9" s="48">
        <v>231</v>
      </c>
      <c r="D9" s="49">
        <v>196</v>
      </c>
      <c r="E9" s="49">
        <v>205</v>
      </c>
      <c r="F9" s="59">
        <f>C9-D9</f>
        <v>35</v>
      </c>
      <c r="G9" s="50">
        <f>H9+J9</f>
        <v>141077887925</v>
      </c>
      <c r="H9" s="51">
        <f t="shared" si="0"/>
        <v>114400068231</v>
      </c>
      <c r="I9" s="51">
        <v>35365078558</v>
      </c>
      <c r="J9" s="52">
        <v>26677819694</v>
      </c>
      <c r="K9" s="53">
        <v>30232684875</v>
      </c>
      <c r="L9" s="54">
        <f t="shared" si="1"/>
        <v>30899157897.900002</v>
      </c>
      <c r="M9" s="91">
        <v>30899157897.900002</v>
      </c>
      <c r="N9" s="16">
        <v>0</v>
      </c>
      <c r="O9" s="17">
        <f>L9/H9</f>
        <v>0.27009737297977399</v>
      </c>
      <c r="P9" s="17">
        <f t="shared" si="3"/>
        <v>0.8737194757598028</v>
      </c>
      <c r="Q9" s="51">
        <v>162214126</v>
      </c>
      <c r="R9" s="18">
        <f>Q9/K9</f>
        <v>5.3655216753222615E-3</v>
      </c>
      <c r="S9" s="55">
        <f t="shared" si="4"/>
        <v>83500910333.100006</v>
      </c>
      <c r="T9" s="51">
        <f t="shared" si="7"/>
        <v>4465920660.0999985</v>
      </c>
      <c r="U9" s="51">
        <v>79034989673</v>
      </c>
      <c r="V9" s="56">
        <v>9</v>
      </c>
      <c r="W9" s="17" t="e">
        <f>V9/#REF!</f>
        <v>#REF!</v>
      </c>
      <c r="X9" s="47">
        <v>46021</v>
      </c>
    </row>
    <row r="10" spans="2:24" ht="15" thickBot="1" x14ac:dyDescent="0.35">
      <c r="B10" s="72" t="s">
        <v>32</v>
      </c>
      <c r="C10" s="48">
        <v>237</v>
      </c>
      <c r="D10" s="49">
        <v>218</v>
      </c>
      <c r="E10" s="49">
        <v>223</v>
      </c>
      <c r="F10" s="59">
        <f>C10-D10</f>
        <v>19</v>
      </c>
      <c r="G10" s="50">
        <f>H10+J10</f>
        <v>176215418494</v>
      </c>
      <c r="H10" s="51">
        <f t="shared" si="0"/>
        <v>158953346888</v>
      </c>
      <c r="I10" s="51">
        <v>48990458140</v>
      </c>
      <c r="J10" s="52">
        <v>17262071606</v>
      </c>
      <c r="K10" s="53">
        <v>38375939023</v>
      </c>
      <c r="L10" s="54">
        <f>M10+N10</f>
        <v>38372189011.699997</v>
      </c>
      <c r="M10" s="91">
        <v>38372189011.699997</v>
      </c>
      <c r="N10" s="16">
        <v>0</v>
      </c>
      <c r="O10" s="17">
        <f t="shared" si="3"/>
        <v>0.24140535423099582</v>
      </c>
      <c r="P10" s="17">
        <f>M10/I10</f>
        <v>0.78325842354941477</v>
      </c>
      <c r="Q10" s="51">
        <v>303776761</v>
      </c>
      <c r="R10" s="18">
        <f t="shared" si="2"/>
        <v>7.9158131040894218E-3</v>
      </c>
      <c r="S10" s="55">
        <f t="shared" si="4"/>
        <v>120581157876.3</v>
      </c>
      <c r="T10" s="51">
        <f t="shared" si="7"/>
        <v>10618269128.300003</v>
      </c>
      <c r="U10" s="51">
        <v>109962888748</v>
      </c>
      <c r="V10" s="56">
        <v>6</v>
      </c>
      <c r="W10" s="17" t="e">
        <f>V10/#REF!</f>
        <v>#REF!</v>
      </c>
      <c r="X10" s="47">
        <v>46021</v>
      </c>
    </row>
    <row r="11" spans="2:24" ht="15" thickBot="1" x14ac:dyDescent="0.35">
      <c r="B11" s="72" t="s">
        <v>33</v>
      </c>
      <c r="C11" s="48">
        <v>151</v>
      </c>
      <c r="D11" s="49">
        <v>106</v>
      </c>
      <c r="E11" s="49">
        <v>128</v>
      </c>
      <c r="F11" s="59">
        <f t="shared" si="5"/>
        <v>45</v>
      </c>
      <c r="G11" s="50">
        <f t="shared" si="6"/>
        <v>122462231292</v>
      </c>
      <c r="H11" s="51">
        <f t="shared" si="0"/>
        <v>74364254946</v>
      </c>
      <c r="I11" s="51">
        <v>21649927449</v>
      </c>
      <c r="J11" s="52">
        <v>48097976346</v>
      </c>
      <c r="K11" s="53">
        <v>5348902078</v>
      </c>
      <c r="L11" s="54">
        <f>M11+N11</f>
        <v>5483989294.8699999</v>
      </c>
      <c r="M11" s="91">
        <v>5483989294.8699999</v>
      </c>
      <c r="N11" s="16">
        <v>0</v>
      </c>
      <c r="O11" s="17">
        <f>L11/H11</f>
        <v>7.3744963878845118E-2</v>
      </c>
      <c r="P11" s="17">
        <f t="shared" si="3"/>
        <v>0.25330289479207019</v>
      </c>
      <c r="Q11" s="51">
        <v>252841761</v>
      </c>
      <c r="R11" s="18">
        <f>Q11/K11</f>
        <v>4.7269842915976447E-2</v>
      </c>
      <c r="S11" s="55">
        <f t="shared" si="4"/>
        <v>68880265651.130005</v>
      </c>
      <c r="T11" s="51">
        <f t="shared" si="7"/>
        <v>16165938154.130001</v>
      </c>
      <c r="U11" s="51">
        <v>52714327497</v>
      </c>
      <c r="V11" s="56">
        <v>5</v>
      </c>
      <c r="W11" s="17" t="e">
        <f>V11/#REF!</f>
        <v>#REF!</v>
      </c>
      <c r="X11" s="47">
        <v>46021</v>
      </c>
    </row>
    <row r="12" spans="2:24" ht="15" thickBot="1" x14ac:dyDescent="0.35">
      <c r="B12" s="72" t="s">
        <v>34</v>
      </c>
      <c r="C12" s="58">
        <v>263</v>
      </c>
      <c r="D12" s="59">
        <v>124</v>
      </c>
      <c r="E12" s="59">
        <v>186</v>
      </c>
      <c r="F12" s="59">
        <f t="shared" si="5"/>
        <v>139</v>
      </c>
      <c r="G12" s="60">
        <f t="shared" si="6"/>
        <v>117976902131</v>
      </c>
      <c r="H12" s="41">
        <f t="shared" si="0"/>
        <v>46942056583</v>
      </c>
      <c r="I12" s="61">
        <v>16262991421</v>
      </c>
      <c r="J12" s="62">
        <v>71034845548</v>
      </c>
      <c r="K12" s="63">
        <v>15025202884</v>
      </c>
      <c r="L12" s="54">
        <f>M12+N12</f>
        <v>14741179857.659998</v>
      </c>
      <c r="M12" s="92">
        <v>14741179857.659998</v>
      </c>
      <c r="N12" s="21">
        <v>0</v>
      </c>
      <c r="O12" s="22">
        <f>L12/H12</f>
        <v>0.31402927205789477</v>
      </c>
      <c r="P12" s="22">
        <f>M12/I12</f>
        <v>0.90642486834402902</v>
      </c>
      <c r="Q12" s="61">
        <v>687698798</v>
      </c>
      <c r="R12" s="23">
        <f>Q12/K12</f>
        <v>4.5769684663114596E-2</v>
      </c>
      <c r="S12" s="65">
        <f t="shared" si="4"/>
        <v>32200876725.340004</v>
      </c>
      <c r="T12" s="61">
        <f>+I12-L12</f>
        <v>1521811563.3400021</v>
      </c>
      <c r="U12" s="61">
        <v>30679065162</v>
      </c>
      <c r="V12" s="66">
        <v>0</v>
      </c>
      <c r="W12" s="22" t="e">
        <f>V12/#REF!</f>
        <v>#REF!</v>
      </c>
      <c r="X12" s="47">
        <v>46021</v>
      </c>
    </row>
    <row r="13" spans="2:24" ht="15" thickBo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ht="15" thickBot="1" x14ac:dyDescent="0.35">
      <c r="B14" s="73" t="s">
        <v>35</v>
      </c>
      <c r="C14" s="24">
        <f t="shared" ref="C14:N14" si="8">SUM(C6:C12)</f>
        <v>1790</v>
      </c>
      <c r="D14" s="25">
        <f t="shared" si="8"/>
        <v>1523</v>
      </c>
      <c r="E14" s="25">
        <f>SUM(E6:E12)</f>
        <v>1624</v>
      </c>
      <c r="F14" s="25">
        <f t="shared" si="8"/>
        <v>267</v>
      </c>
      <c r="G14" s="26">
        <f t="shared" si="8"/>
        <v>1031539512174</v>
      </c>
      <c r="H14" s="26">
        <f>SUM(H6:H12)</f>
        <v>845769149043</v>
      </c>
      <c r="I14" s="26">
        <f t="shared" si="8"/>
        <v>377792376510.79999</v>
      </c>
      <c r="J14" s="26">
        <f t="shared" si="8"/>
        <v>185770363131</v>
      </c>
      <c r="K14" s="26">
        <f t="shared" si="8"/>
        <v>411128682791.90002</v>
      </c>
      <c r="L14" s="26">
        <f t="shared" si="8"/>
        <v>380348594570.08002</v>
      </c>
      <c r="M14" s="27">
        <f t="shared" si="8"/>
        <v>380348594570.08002</v>
      </c>
      <c r="N14" s="28">
        <f t="shared" si="8"/>
        <v>0</v>
      </c>
      <c r="O14" s="29">
        <f>L14/H14</f>
        <v>0.44970734035457544</v>
      </c>
      <c r="P14" s="29">
        <f>M14/I14</f>
        <v>1.0067661980977187</v>
      </c>
      <c r="Q14" s="26">
        <f>SUM(Q6:Q12)</f>
        <v>23683683761.16</v>
      </c>
      <c r="R14" s="29">
        <f>+Q14/K14</f>
        <v>5.7606498287417984E-2</v>
      </c>
      <c r="S14" s="26">
        <f>SUM(S6:S12)</f>
        <v>465420554472.92004</v>
      </c>
      <c r="T14" s="26">
        <f>SUM(T6:T12)</f>
        <v>36349219069.660011</v>
      </c>
      <c r="U14" s="26">
        <f>SUM(U6:U12)</f>
        <v>429071335403.26001</v>
      </c>
      <c r="V14" s="30">
        <f>SUM(V6:V12)</f>
        <v>45</v>
      </c>
      <c r="W14" s="30"/>
      <c r="X14" s="31"/>
    </row>
    <row r="15" spans="2:24" x14ac:dyDescent="0.3">
      <c r="B15" s="1"/>
      <c r="C15" s="32">
        <v>1790</v>
      </c>
      <c r="D15" s="33">
        <v>1517</v>
      </c>
      <c r="E15" s="33">
        <v>1599</v>
      </c>
      <c r="F15" s="33">
        <v>273</v>
      </c>
      <c r="G15" s="33">
        <v>1030755866805</v>
      </c>
      <c r="H15" s="33">
        <v>842780227781</v>
      </c>
      <c r="I15" s="33">
        <v>372643494008.79999</v>
      </c>
      <c r="J15" s="33">
        <v>187975639024</v>
      </c>
      <c r="K15" s="33">
        <v>381015709669.98999</v>
      </c>
      <c r="L15" s="33">
        <v>372185054837.38995</v>
      </c>
      <c r="M15" s="33">
        <v>372185054837.38995</v>
      </c>
      <c r="N15" s="33">
        <v>0</v>
      </c>
      <c r="O15" s="33">
        <v>0.44161578851622491</v>
      </c>
      <c r="P15" s="33">
        <v>0.99876976472478218</v>
      </c>
      <c r="Q15" s="33">
        <v>22379310708.049999</v>
      </c>
      <c r="R15" s="33">
        <v>5.8735926472515902E-2</v>
      </c>
      <c r="S15" s="34">
        <v>470595172943.61005</v>
      </c>
      <c r="T15" s="34">
        <v>34975325862.910004</v>
      </c>
      <c r="U15" s="34">
        <v>435619847080.70001</v>
      </c>
      <c r="V15" s="1">
        <v>45</v>
      </c>
      <c r="W15" s="1"/>
      <c r="X15" s="1"/>
    </row>
    <row r="16" spans="2:24" ht="15" thickBot="1" x14ac:dyDescent="0.35">
      <c r="B16" s="1"/>
      <c r="C16" s="1"/>
      <c r="D16" s="1"/>
      <c r="E16" s="1"/>
      <c r="F16" s="1"/>
      <c r="G16" s="1"/>
      <c r="H16" s="35"/>
      <c r="I16" s="1"/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ht="15" thickBot="1" x14ac:dyDescent="0.35">
      <c r="B17" s="73" t="s">
        <v>36</v>
      </c>
      <c r="C17" s="24">
        <f>+C14-C15</f>
        <v>0</v>
      </c>
      <c r="D17" s="25">
        <f>+D14-D15</f>
        <v>6</v>
      </c>
      <c r="E17" s="25">
        <f t="shared" ref="E17:U17" si="9">+E14-E15</f>
        <v>25</v>
      </c>
      <c r="F17" s="25">
        <f>+F14-F15</f>
        <v>-6</v>
      </c>
      <c r="G17" s="26">
        <f>+G14-G15</f>
        <v>783645369</v>
      </c>
      <c r="H17" s="26">
        <f t="shared" si="9"/>
        <v>2988921262</v>
      </c>
      <c r="I17" s="26">
        <f t="shared" si="9"/>
        <v>5148882502</v>
      </c>
      <c r="J17" s="26">
        <f>+J14-J15</f>
        <v>-2205275893</v>
      </c>
      <c r="K17" s="26">
        <f t="shared" si="9"/>
        <v>30112973121.910034</v>
      </c>
      <c r="L17" s="26">
        <f>+L14-L15</f>
        <v>8163539732.6900635</v>
      </c>
      <c r="M17" s="27">
        <f t="shared" si="9"/>
        <v>8163539732.6900635</v>
      </c>
      <c r="N17" s="28">
        <f t="shared" si="9"/>
        <v>0</v>
      </c>
      <c r="O17" s="29">
        <f t="shared" si="9"/>
        <v>8.0915518383505303E-3</v>
      </c>
      <c r="P17" s="29">
        <f t="shared" si="9"/>
        <v>7.99643337293654E-3</v>
      </c>
      <c r="Q17" s="26">
        <f t="shared" si="9"/>
        <v>1304373053.1100006</v>
      </c>
      <c r="R17" s="29">
        <f t="shared" si="9"/>
        <v>-1.1294281850979179E-3</v>
      </c>
      <c r="S17" s="26">
        <f t="shared" si="9"/>
        <v>-5174618470.6900024</v>
      </c>
      <c r="T17" s="26">
        <f t="shared" si="9"/>
        <v>1373893206.7500076</v>
      </c>
      <c r="U17" s="37">
        <f t="shared" si="9"/>
        <v>-6548511677.4400024</v>
      </c>
      <c r="V17" s="1"/>
      <c r="W17" s="1"/>
      <c r="X17" s="1"/>
    </row>
    <row r="18" spans="2:2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74"/>
      <c r="U19" s="1"/>
      <c r="V19" s="1"/>
      <c r="W19" s="1"/>
      <c r="X19" s="1"/>
    </row>
    <row r="20" spans="2:24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5"/>
      <c r="O20" s="1"/>
      <c r="P20" s="1"/>
      <c r="Q20" s="1"/>
      <c r="R20" s="1"/>
      <c r="S20" s="1"/>
      <c r="T20" s="33">
        <v>-29536956842.740005</v>
      </c>
      <c r="U20" s="1"/>
      <c r="V20" s="1"/>
      <c r="W20" s="1"/>
      <c r="X20" s="1"/>
    </row>
    <row r="21" spans="2:24" x14ac:dyDescent="0.3">
      <c r="B21" s="1"/>
      <c r="C21" s="1"/>
      <c r="D21" s="1"/>
      <c r="E21" s="1"/>
      <c r="F21" s="1"/>
      <c r="G21" s="10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01"/>
      <c r="U21" s="1"/>
      <c r="V21" s="1"/>
      <c r="W21" s="1"/>
      <c r="X21" s="1"/>
    </row>
    <row r="22" spans="2:24" x14ac:dyDescent="0.3">
      <c r="G22" s="103"/>
      <c r="T22" s="33"/>
    </row>
    <row r="23" spans="2:24" x14ac:dyDescent="0.3">
      <c r="T23" s="33">
        <v>-9368480286.1999969</v>
      </c>
    </row>
  </sheetData>
  <mergeCells count="5">
    <mergeCell ref="B1:X1"/>
    <mergeCell ref="B4:B5"/>
    <mergeCell ref="C4:J4"/>
    <mergeCell ref="L4:R4"/>
    <mergeCell ref="S4:U4"/>
  </mergeCells>
  <conditionalFormatting sqref="B6:L12">
    <cfRule type="containsText" dxfId="60" priority="7" operator="containsText" text="Proyecto">
      <formula>NOT(ISERROR(SEARCH("Proyecto",B6)))</formula>
    </cfRule>
    <cfRule type="expression" dxfId="59" priority="8">
      <formula>#REF!="Total"</formula>
    </cfRule>
  </conditionalFormatting>
  <conditionalFormatting sqref="G14:M14 O14:X14">
    <cfRule type="containsText" dxfId="58" priority="13" operator="containsText" text="Proyecto">
      <formula>NOT(ISERROR(SEARCH("Proyecto",G14)))</formula>
    </cfRule>
  </conditionalFormatting>
  <conditionalFormatting sqref="G17:M17 O17:U17">
    <cfRule type="containsText" dxfId="57" priority="11" operator="containsText" text="Proyecto">
      <formula>NOT(ISERROR(SEARCH("Proyecto",G17)))</formula>
    </cfRule>
    <cfRule type="expression" dxfId="56" priority="12">
      <formula>#REF!="Total"</formula>
    </cfRule>
  </conditionalFormatting>
  <conditionalFormatting sqref="Q6:Q12 G14:M14 O14:X14">
    <cfRule type="expression" dxfId="55" priority="15">
      <formula>#REF!="Total"</formula>
    </cfRule>
  </conditionalFormatting>
  <conditionalFormatting sqref="Q6:Q12">
    <cfRule type="containsText" dxfId="54" priority="14" operator="containsText" text="Proyecto">
      <formula>NOT(ISERROR(SEARCH("Proyecto",Q6)))</formula>
    </cfRule>
  </conditionalFormatting>
  <conditionalFormatting sqref="S15:U15">
    <cfRule type="containsText" dxfId="53" priority="9" operator="containsText" text="Proyecto">
      <formula>NOT(ISERROR(SEARCH("Proyecto",S15)))</formula>
    </cfRule>
    <cfRule type="expression" dxfId="52" priority="10">
      <formula>#REF!="Total"</formula>
    </cfRule>
  </conditionalFormatting>
  <conditionalFormatting sqref="S6:W12">
    <cfRule type="containsText" dxfId="51" priority="1" operator="containsText" text="Proyecto">
      <formula>NOT(ISERROR(SEARCH("Proyecto",S6)))</formula>
    </cfRule>
    <cfRule type="expression" dxfId="50" priority="2">
      <formula>#REF!="Total"</formula>
    </cfRule>
  </conditionalFormatting>
  <conditionalFormatting sqref="T21">
    <cfRule type="containsText" dxfId="49" priority="5" operator="containsText" text="Proyecto">
      <formula>NOT(ISERROR(SEARCH("Proyecto",T21)))</formula>
    </cfRule>
    <cfRule type="expression" dxfId="48" priority="6">
      <formula>#REF!="Total"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88E7-BC45-4FDB-AE06-75A24C7FB467}">
  <dimension ref="B1:X23"/>
  <sheetViews>
    <sheetView topLeftCell="C6" zoomScale="80" zoomScaleNormal="80" workbookViewId="0">
      <selection activeCell="C14" sqref="C14:X14"/>
    </sheetView>
  </sheetViews>
  <sheetFormatPr baseColWidth="10" defaultRowHeight="14.4" x14ac:dyDescent="0.3"/>
  <cols>
    <col min="1" max="1" width="4.6640625" customWidth="1"/>
    <col min="2" max="2" width="31" bestFit="1" customWidth="1"/>
    <col min="7" max="7" width="13" bestFit="1" customWidth="1"/>
    <col min="11" max="11" width="12" hidden="1" customWidth="1"/>
    <col min="13" max="13" width="18.44140625" hidden="1" customWidth="1"/>
    <col min="14" max="14" width="11.109375" hidden="1" customWidth="1"/>
    <col min="20" max="20" width="12.5546875" bestFit="1" customWidth="1"/>
    <col min="22" max="23" width="0" hidden="1" customWidth="1"/>
    <col min="25" max="26" width="12.6640625" bestFit="1" customWidth="1"/>
  </cols>
  <sheetData>
    <row r="1" spans="2:24" ht="15" thickBot="1" x14ac:dyDescent="0.35">
      <c r="B1" s="157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9"/>
    </row>
    <row r="2" spans="2:24" x14ac:dyDescent="0.3">
      <c r="B2" s="1"/>
      <c r="C2" s="1"/>
      <c r="D2" s="1"/>
      <c r="E2" s="1"/>
      <c r="F2" s="1"/>
      <c r="G2" s="1"/>
      <c r="H2" s="1"/>
      <c r="I2" s="1"/>
      <c r="J2" s="1"/>
      <c r="K2" s="9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ht="15" thickBot="1" x14ac:dyDescent="0.35">
      <c r="B3" s="104" t="s">
        <v>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5" thickBot="1" x14ac:dyDescent="0.35">
      <c r="B4" s="152" t="s">
        <v>2</v>
      </c>
      <c r="C4" s="160" t="s">
        <v>3</v>
      </c>
      <c r="D4" s="161"/>
      <c r="E4" s="161"/>
      <c r="F4" s="161"/>
      <c r="G4" s="161"/>
      <c r="H4" s="161"/>
      <c r="I4" s="161"/>
      <c r="J4" s="162"/>
      <c r="K4" s="2"/>
      <c r="L4" s="160" t="s">
        <v>4</v>
      </c>
      <c r="M4" s="161"/>
      <c r="N4" s="161"/>
      <c r="O4" s="161"/>
      <c r="P4" s="161"/>
      <c r="Q4" s="161"/>
      <c r="R4" s="162"/>
      <c r="S4" s="163" t="s">
        <v>5</v>
      </c>
      <c r="T4" s="163"/>
      <c r="U4" s="164"/>
      <c r="V4" s="3"/>
      <c r="W4" s="3"/>
      <c r="X4" s="2"/>
    </row>
    <row r="5" spans="2:24" ht="72.599999999999994" thickBot="1" x14ac:dyDescent="0.35">
      <c r="B5" s="153"/>
      <c r="C5" s="4" t="s">
        <v>6</v>
      </c>
      <c r="D5" s="4" t="s">
        <v>7</v>
      </c>
      <c r="E5" s="5" t="s">
        <v>8</v>
      </c>
      <c r="F5" s="5" t="s">
        <v>42</v>
      </c>
      <c r="G5" s="5" t="s">
        <v>10</v>
      </c>
      <c r="H5" s="5" t="s">
        <v>11</v>
      </c>
      <c r="I5" s="5" t="s">
        <v>12</v>
      </c>
      <c r="J5" s="4" t="s">
        <v>13</v>
      </c>
      <c r="K5" s="6" t="s">
        <v>14</v>
      </c>
      <c r="L5" s="7" t="s">
        <v>15</v>
      </c>
      <c r="M5" s="8" t="s">
        <v>16</v>
      </c>
      <c r="N5" s="8" t="s">
        <v>17</v>
      </c>
      <c r="O5" s="9" t="s">
        <v>18</v>
      </c>
      <c r="P5" s="9" t="s">
        <v>19</v>
      </c>
      <c r="Q5" s="9" t="s">
        <v>20</v>
      </c>
      <c r="R5" s="10" t="s">
        <v>21</v>
      </c>
      <c r="S5" s="11" t="s">
        <v>22</v>
      </c>
      <c r="T5" s="11" t="s">
        <v>23</v>
      </c>
      <c r="U5" s="11" t="s">
        <v>24</v>
      </c>
      <c r="V5" s="12" t="s">
        <v>25</v>
      </c>
      <c r="W5" s="12" t="s">
        <v>26</v>
      </c>
      <c r="X5" s="12" t="s">
        <v>27</v>
      </c>
    </row>
    <row r="6" spans="2:24" ht="34.950000000000003" customHeight="1" x14ac:dyDescent="0.3">
      <c r="B6" s="71" t="s">
        <v>28</v>
      </c>
      <c r="C6" s="38">
        <v>303</v>
      </c>
      <c r="D6" s="39">
        <v>297</v>
      </c>
      <c r="E6" s="39">
        <v>299</v>
      </c>
      <c r="F6" s="39">
        <f>C6-D6</f>
        <v>6</v>
      </c>
      <c r="G6" s="40">
        <f>H6+J6</f>
        <v>134324042746</v>
      </c>
      <c r="H6" s="41">
        <f t="shared" ref="H6:H12" si="0">L6+S6</f>
        <v>129858173898</v>
      </c>
      <c r="I6" s="41">
        <v>97938509263</v>
      </c>
      <c r="J6" s="42">
        <v>4465868848</v>
      </c>
      <c r="K6" s="53">
        <v>130047593702.47</v>
      </c>
      <c r="L6" s="44">
        <f t="shared" ref="L6:L9" si="1">M6+N6</f>
        <v>129059592922.42</v>
      </c>
      <c r="M6" s="106">
        <v>129059592922.42</v>
      </c>
      <c r="N6" s="13">
        <v>0</v>
      </c>
      <c r="O6" s="14">
        <f>L6/H6</f>
        <v>0.9938503603461476</v>
      </c>
      <c r="P6" s="14">
        <f>M6/I6</f>
        <v>1.3177614596506542</v>
      </c>
      <c r="Q6" s="41">
        <v>256834713.04999995</v>
      </c>
      <c r="R6" s="107">
        <f t="shared" ref="R6:R10" si="2">Q6/K6</f>
        <v>1.9749286068114452E-3</v>
      </c>
      <c r="S6" s="44">
        <f>T6+U6</f>
        <v>798580975.58000183</v>
      </c>
      <c r="T6" s="41">
        <v>0</v>
      </c>
      <c r="U6" s="41">
        <f>31919664635+T20</f>
        <v>798580975.58000183</v>
      </c>
      <c r="V6" s="46">
        <v>12</v>
      </c>
      <c r="W6" s="14" t="e">
        <f>V6/#REF!</f>
        <v>#REF!</v>
      </c>
      <c r="X6" s="47">
        <v>46053</v>
      </c>
    </row>
    <row r="7" spans="2:24" ht="34.950000000000003" customHeight="1" x14ac:dyDescent="0.3">
      <c r="B7" s="72" t="s">
        <v>29</v>
      </c>
      <c r="C7" s="48">
        <v>293</v>
      </c>
      <c r="D7" s="49">
        <v>283</v>
      </c>
      <c r="E7" s="49">
        <v>283</v>
      </c>
      <c r="F7" s="49">
        <f>C7-D7</f>
        <v>10</v>
      </c>
      <c r="G7" s="50">
        <f>H7+J7</f>
        <v>160394684995.79999</v>
      </c>
      <c r="H7" s="51">
        <f t="shared" si="0"/>
        <v>152662365635.79999</v>
      </c>
      <c r="I7" s="51">
        <v>96851879568.800003</v>
      </c>
      <c r="J7" s="52">
        <v>7732319360</v>
      </c>
      <c r="K7" s="53">
        <v>129081288426.28</v>
      </c>
      <c r="L7" s="54">
        <f t="shared" si="1"/>
        <v>107514574778.96999</v>
      </c>
      <c r="M7" s="90">
        <v>107514574778.96999</v>
      </c>
      <c r="N7" s="16">
        <v>0</v>
      </c>
      <c r="O7" s="17">
        <f t="shared" ref="O7:P11" si="3">L7/H7</f>
        <v>0.70426378060630124</v>
      </c>
      <c r="P7" s="17">
        <f>M7/I7</f>
        <v>1.1100928062278399</v>
      </c>
      <c r="Q7" s="51">
        <v>14688126750.15</v>
      </c>
      <c r="R7" s="86">
        <f t="shared" si="2"/>
        <v>0.11378974388327848</v>
      </c>
      <c r="S7" s="54">
        <f t="shared" ref="S7:S12" si="4">T7+U7</f>
        <v>45147790856.830017</v>
      </c>
      <c r="T7" s="51">
        <v>0</v>
      </c>
      <c r="U7" s="51">
        <f>55810486067+T23</f>
        <v>45147790856.830017</v>
      </c>
      <c r="V7" s="56">
        <v>2</v>
      </c>
      <c r="W7" s="17" t="e">
        <f>V7/#REF!</f>
        <v>#REF!</v>
      </c>
      <c r="X7" s="88">
        <v>46053</v>
      </c>
    </row>
    <row r="8" spans="2:24" ht="34.950000000000003" customHeight="1" x14ac:dyDescent="0.3">
      <c r="B8" s="72" t="s">
        <v>30</v>
      </c>
      <c r="C8" s="48">
        <v>312</v>
      </c>
      <c r="D8" s="49">
        <v>296</v>
      </c>
      <c r="E8" s="49">
        <v>299</v>
      </c>
      <c r="F8" s="49">
        <f t="shared" ref="F8:F12" si="5">C8-D8</f>
        <v>16</v>
      </c>
      <c r="G8" s="50">
        <f t="shared" ref="G8:G12" si="6">H8+J8</f>
        <v>178759880329</v>
      </c>
      <c r="H8" s="51">
        <f t="shared" si="0"/>
        <v>166602204900</v>
      </c>
      <c r="I8" s="51">
        <v>63278156100</v>
      </c>
      <c r="J8" s="52">
        <v>12157675429</v>
      </c>
      <c r="K8" s="53">
        <v>59750814847.57</v>
      </c>
      <c r="L8" s="54">
        <f t="shared" si="1"/>
        <v>59385210005.209999</v>
      </c>
      <c r="M8" s="91">
        <v>59385210005.209999</v>
      </c>
      <c r="N8" s="16">
        <v>0</v>
      </c>
      <c r="O8" s="17">
        <f t="shared" si="3"/>
        <v>0.35644912407284712</v>
      </c>
      <c r="P8" s="17">
        <f t="shared" si="3"/>
        <v>0.93847883164234613</v>
      </c>
      <c r="Q8" s="51">
        <v>126981619</v>
      </c>
      <c r="R8" s="86">
        <f t="shared" si="2"/>
        <v>2.125186398276612E-3</v>
      </c>
      <c r="S8" s="54">
        <f t="shared" si="4"/>
        <v>107216994894.79001</v>
      </c>
      <c r="T8" s="51">
        <f t="shared" ref="T8:T11" si="7">+I8-L8</f>
        <v>3892946094.7900009</v>
      </c>
      <c r="U8" s="51">
        <v>103324048800</v>
      </c>
      <c r="V8" s="56">
        <v>11</v>
      </c>
      <c r="W8" s="17" t="e">
        <f>V8/#REF!</f>
        <v>#REF!</v>
      </c>
      <c r="X8" s="88">
        <v>46053</v>
      </c>
    </row>
    <row r="9" spans="2:24" ht="34.950000000000003" customHeight="1" x14ac:dyDescent="0.3">
      <c r="B9" s="72" t="s">
        <v>31</v>
      </c>
      <c r="C9" s="48">
        <v>231</v>
      </c>
      <c r="D9" s="49">
        <v>195</v>
      </c>
      <c r="E9" s="49">
        <v>207</v>
      </c>
      <c r="F9" s="49">
        <f>C9-D9</f>
        <v>36</v>
      </c>
      <c r="G9" s="50">
        <f>H9+J9</f>
        <v>141360132464</v>
      </c>
      <c r="H9" s="51">
        <f t="shared" si="0"/>
        <v>114096984190</v>
      </c>
      <c r="I9" s="51">
        <v>35147531385</v>
      </c>
      <c r="J9" s="52">
        <v>27263148274</v>
      </c>
      <c r="K9" s="53">
        <v>30362796799.959999</v>
      </c>
      <c r="L9" s="54">
        <f t="shared" si="1"/>
        <v>30808566456.440002</v>
      </c>
      <c r="M9" s="91">
        <v>30808566456.440002</v>
      </c>
      <c r="N9" s="16">
        <v>0</v>
      </c>
      <c r="O9" s="17">
        <f>L9/H9</f>
        <v>0.27002086580251794</v>
      </c>
      <c r="P9" s="17">
        <f t="shared" si="3"/>
        <v>0.87654993800185499</v>
      </c>
      <c r="Q9" s="51">
        <v>261800866</v>
      </c>
      <c r="R9" s="86">
        <f>Q9/K9</f>
        <v>8.6224226221592645E-3</v>
      </c>
      <c r="S9" s="54">
        <f t="shared" si="4"/>
        <v>83288417733.559998</v>
      </c>
      <c r="T9" s="51">
        <f t="shared" si="7"/>
        <v>4338964928.5599976</v>
      </c>
      <c r="U9" s="51">
        <v>78949452805</v>
      </c>
      <c r="V9" s="56">
        <v>9</v>
      </c>
      <c r="W9" s="17" t="e">
        <f>V9/#REF!</f>
        <v>#REF!</v>
      </c>
      <c r="X9" s="88">
        <v>46053</v>
      </c>
    </row>
    <row r="10" spans="2:24" ht="34.950000000000003" customHeight="1" x14ac:dyDescent="0.3">
      <c r="B10" s="72" t="s">
        <v>32</v>
      </c>
      <c r="C10" s="48">
        <v>237</v>
      </c>
      <c r="D10" s="49">
        <v>219</v>
      </c>
      <c r="E10" s="49">
        <v>222</v>
      </c>
      <c r="F10" s="49">
        <f>C10-D10</f>
        <v>18</v>
      </c>
      <c r="G10" s="50">
        <f>H10+J10</f>
        <v>176872334746</v>
      </c>
      <c r="H10" s="51">
        <f t="shared" si="0"/>
        <v>158903263140</v>
      </c>
      <c r="I10" s="51">
        <v>48919325988</v>
      </c>
      <c r="J10" s="52">
        <v>17969071606</v>
      </c>
      <c r="K10" s="53">
        <v>39101798650</v>
      </c>
      <c r="L10" s="54">
        <f>M10+N10</f>
        <v>38792692353.660004</v>
      </c>
      <c r="M10" s="91">
        <v>38792692353.660004</v>
      </c>
      <c r="N10" s="16">
        <v>0</v>
      </c>
      <c r="O10" s="17">
        <f t="shared" si="3"/>
        <v>0.24412772643619107</v>
      </c>
      <c r="P10" s="17">
        <f>M10/I10</f>
        <v>0.79299318970943966</v>
      </c>
      <c r="Q10" s="105">
        <v>342537671</v>
      </c>
      <c r="R10" s="86">
        <f t="shared" si="2"/>
        <v>8.7601512673637586E-3</v>
      </c>
      <c r="S10" s="54">
        <f t="shared" si="4"/>
        <v>120110570786.34</v>
      </c>
      <c r="T10" s="51">
        <f t="shared" si="7"/>
        <v>10126633634.339996</v>
      </c>
      <c r="U10" s="51">
        <v>109983937152</v>
      </c>
      <c r="V10" s="56">
        <v>6</v>
      </c>
      <c r="W10" s="17" t="e">
        <f>V10/#REF!</f>
        <v>#REF!</v>
      </c>
      <c r="X10" s="88">
        <v>46053</v>
      </c>
    </row>
    <row r="11" spans="2:24" ht="34.950000000000003" customHeight="1" x14ac:dyDescent="0.3">
      <c r="B11" s="72" t="s">
        <v>33</v>
      </c>
      <c r="C11" s="48">
        <v>151</v>
      </c>
      <c r="D11" s="49">
        <v>105</v>
      </c>
      <c r="E11" s="49">
        <v>121</v>
      </c>
      <c r="F11" s="49">
        <f t="shared" si="5"/>
        <v>46</v>
      </c>
      <c r="G11" s="50">
        <f t="shared" si="6"/>
        <v>122286012894</v>
      </c>
      <c r="H11" s="51">
        <f t="shared" si="0"/>
        <v>73505805017</v>
      </c>
      <c r="I11" s="51">
        <v>21392847018</v>
      </c>
      <c r="J11" s="52">
        <v>48780207877</v>
      </c>
      <c r="K11" s="53">
        <v>6339781646.8699999</v>
      </c>
      <c r="L11" s="54">
        <f>M11+N11</f>
        <v>6230018249.3699999</v>
      </c>
      <c r="M11" s="91">
        <v>6230018249.3699999</v>
      </c>
      <c r="N11" s="16">
        <v>0</v>
      </c>
      <c r="O11" s="17">
        <f>L11/H11</f>
        <v>8.475545908148556E-2</v>
      </c>
      <c r="P11" s="17">
        <f t="shared" si="3"/>
        <v>0.2912196887178245</v>
      </c>
      <c r="Q11" s="51">
        <v>194628692</v>
      </c>
      <c r="R11" s="86">
        <f>Q11/K11</f>
        <v>3.0699589172142817E-2</v>
      </c>
      <c r="S11" s="54">
        <f t="shared" si="4"/>
        <v>67275786767.630005</v>
      </c>
      <c r="T11" s="51">
        <f t="shared" si="7"/>
        <v>15162828768.630001</v>
      </c>
      <c r="U11" s="51">
        <v>52112957999</v>
      </c>
      <c r="V11" s="56">
        <v>5</v>
      </c>
      <c r="W11" s="17" t="e">
        <f>V11/#REF!</f>
        <v>#REF!</v>
      </c>
      <c r="X11" s="88">
        <v>46053</v>
      </c>
    </row>
    <row r="12" spans="2:24" ht="34.950000000000003" customHeight="1" thickBot="1" x14ac:dyDescent="0.35">
      <c r="B12" s="72" t="s">
        <v>34</v>
      </c>
      <c r="C12" s="58">
        <v>263</v>
      </c>
      <c r="D12" s="59">
        <v>126</v>
      </c>
      <c r="E12" s="59">
        <v>136</v>
      </c>
      <c r="F12" s="59">
        <f t="shared" si="5"/>
        <v>137</v>
      </c>
      <c r="G12" s="60">
        <f t="shared" si="6"/>
        <v>118617151708</v>
      </c>
      <c r="H12" s="61">
        <f t="shared" si="0"/>
        <v>47971660490</v>
      </c>
      <c r="I12" s="61">
        <v>16855591557</v>
      </c>
      <c r="J12" s="62">
        <v>70645491218</v>
      </c>
      <c r="K12" s="63">
        <v>14825037031</v>
      </c>
      <c r="L12" s="64">
        <f>M12+N12</f>
        <v>14657049741.659998</v>
      </c>
      <c r="M12" s="92">
        <v>14657049741.659998</v>
      </c>
      <c r="N12" s="21">
        <v>0</v>
      </c>
      <c r="O12" s="22">
        <f>L12/H12</f>
        <v>0.30553559313868972</v>
      </c>
      <c r="P12" s="22">
        <f>M12/I12</f>
        <v>0.86956602455005716</v>
      </c>
      <c r="Q12" s="61">
        <v>669057862</v>
      </c>
      <c r="R12" s="87">
        <f>Q12/K12</f>
        <v>4.5130265819974799E-2</v>
      </c>
      <c r="S12" s="64">
        <f t="shared" si="4"/>
        <v>33314610748.340004</v>
      </c>
      <c r="T12" s="61">
        <f>+I12-L12</f>
        <v>2198541815.3400021</v>
      </c>
      <c r="U12" s="61">
        <v>31116068933</v>
      </c>
      <c r="V12" s="66">
        <v>0</v>
      </c>
      <c r="W12" s="22" t="e">
        <f>V12/#REF!</f>
        <v>#REF!</v>
      </c>
      <c r="X12" s="57">
        <v>46053</v>
      </c>
    </row>
    <row r="13" spans="2:24" ht="15" thickBo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ht="15" thickBot="1" x14ac:dyDescent="0.35">
      <c r="B14" s="73" t="s">
        <v>35</v>
      </c>
      <c r="C14" s="24">
        <f t="shared" ref="C14:N14" si="8">SUM(C6:C12)</f>
        <v>1790</v>
      </c>
      <c r="D14" s="25">
        <f t="shared" si="8"/>
        <v>1521</v>
      </c>
      <c r="E14" s="25">
        <f>SUM(E6:E12)</f>
        <v>1567</v>
      </c>
      <c r="F14" s="25">
        <f t="shared" si="8"/>
        <v>269</v>
      </c>
      <c r="G14" s="26">
        <f t="shared" si="8"/>
        <v>1032614239882.8</v>
      </c>
      <c r="H14" s="26">
        <f>SUM(H6:H12)</f>
        <v>843600457270.80005</v>
      </c>
      <c r="I14" s="26">
        <f t="shared" si="8"/>
        <v>380383840879.79999</v>
      </c>
      <c r="J14" s="26">
        <f t="shared" si="8"/>
        <v>189013782612</v>
      </c>
      <c r="K14" s="26">
        <f t="shared" si="8"/>
        <v>409509111104.15002</v>
      </c>
      <c r="L14" s="26">
        <f t="shared" si="8"/>
        <v>386447704507.72992</v>
      </c>
      <c r="M14" s="27">
        <f t="shared" si="8"/>
        <v>386447704507.72992</v>
      </c>
      <c r="N14" s="28">
        <f t="shared" si="8"/>
        <v>0</v>
      </c>
      <c r="O14" s="29">
        <f>L14/H14</f>
        <v>0.45809328477364519</v>
      </c>
      <c r="P14" s="29">
        <f>M14/I14</f>
        <v>1.015941433300386</v>
      </c>
      <c r="Q14" s="26">
        <f>SUM(Q6:Q12)</f>
        <v>16539968173.199999</v>
      </c>
      <c r="R14" s="29">
        <f>+Q14/K14</f>
        <v>4.0389744024506957E-2</v>
      </c>
      <c r="S14" s="26">
        <f>SUM(S6:S12)</f>
        <v>457152752763.07001</v>
      </c>
      <c r="T14" s="26">
        <f>SUM(T6:T12)</f>
        <v>35719915241.659996</v>
      </c>
      <c r="U14" s="26">
        <f>SUM(U6:U12)</f>
        <v>421432837521.41003</v>
      </c>
      <c r="V14" s="30">
        <f>SUM(V6:V12)</f>
        <v>45</v>
      </c>
      <c r="W14" s="30"/>
      <c r="X14" s="31"/>
    </row>
    <row r="15" spans="2:24" x14ac:dyDescent="0.3">
      <c r="B15" s="1"/>
      <c r="C15" s="32">
        <v>1790</v>
      </c>
      <c r="D15" s="33">
        <v>1523</v>
      </c>
      <c r="E15" s="33">
        <v>1624</v>
      </c>
      <c r="F15" s="33">
        <v>267</v>
      </c>
      <c r="G15" s="33">
        <v>1031539512174</v>
      </c>
      <c r="H15" s="33">
        <v>845769149043</v>
      </c>
      <c r="I15" s="33">
        <v>377792376510.79999</v>
      </c>
      <c r="J15" s="33">
        <v>185770363131</v>
      </c>
      <c r="K15" s="33">
        <v>411128682791.90002</v>
      </c>
      <c r="L15" s="33">
        <v>380348594570.08002</v>
      </c>
      <c r="M15" s="33">
        <v>380348594570.08002</v>
      </c>
      <c r="N15" s="33">
        <v>0</v>
      </c>
      <c r="O15" s="33">
        <v>0.44970734035457544</v>
      </c>
      <c r="P15" s="33">
        <v>1.0067661980977187</v>
      </c>
      <c r="Q15" s="33">
        <v>23683683761.16</v>
      </c>
      <c r="R15" s="33">
        <v>5.7606498287417984E-2</v>
      </c>
      <c r="S15" s="34">
        <v>465420554472.92004</v>
      </c>
      <c r="T15" s="34">
        <v>36349219069.660011</v>
      </c>
      <c r="U15" s="34">
        <v>429071335403.26001</v>
      </c>
      <c r="V15" s="1">
        <v>45</v>
      </c>
      <c r="W15" s="1"/>
      <c r="X15" s="1"/>
    </row>
    <row r="16" spans="2:24" ht="15" thickBot="1" x14ac:dyDescent="0.35">
      <c r="B16" s="1"/>
      <c r="C16" s="1"/>
      <c r="D16" s="1"/>
      <c r="E16" s="1"/>
      <c r="F16" s="1"/>
      <c r="G16" s="1"/>
      <c r="H16" s="35"/>
      <c r="I16" s="1"/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ht="15" thickBot="1" x14ac:dyDescent="0.35">
      <c r="B17" s="73" t="s">
        <v>36</v>
      </c>
      <c r="C17" s="24">
        <f>+C14-C15</f>
        <v>0</v>
      </c>
      <c r="D17" s="25">
        <f>+D14-D15</f>
        <v>-2</v>
      </c>
      <c r="E17" s="25">
        <f t="shared" ref="E17:U17" si="9">+E14-E15</f>
        <v>-57</v>
      </c>
      <c r="F17" s="25">
        <f>+F14-F15</f>
        <v>2</v>
      </c>
      <c r="G17" s="26">
        <f>+G14-G15</f>
        <v>1074727708.8000488</v>
      </c>
      <c r="H17" s="26">
        <f t="shared" si="9"/>
        <v>-2168691772.1999512</v>
      </c>
      <c r="I17" s="26">
        <f t="shared" si="9"/>
        <v>2591464369</v>
      </c>
      <c r="J17" s="26">
        <f>+J14-J15</f>
        <v>3243419481</v>
      </c>
      <c r="K17" s="26">
        <f t="shared" si="9"/>
        <v>-1619571687.75</v>
      </c>
      <c r="L17" s="26">
        <f>+L14-L15</f>
        <v>6099109937.6499023</v>
      </c>
      <c r="M17" s="27">
        <f t="shared" si="9"/>
        <v>6099109937.6499023</v>
      </c>
      <c r="N17" s="28">
        <f t="shared" si="9"/>
        <v>0</v>
      </c>
      <c r="O17" s="29">
        <f t="shared" si="9"/>
        <v>8.3859444190697574E-3</v>
      </c>
      <c r="P17" s="29">
        <f t="shared" si="9"/>
        <v>9.1752352026672757E-3</v>
      </c>
      <c r="Q17" s="26">
        <f t="shared" si="9"/>
        <v>-7143715587.960001</v>
      </c>
      <c r="R17" s="29">
        <f t="shared" si="9"/>
        <v>-1.7216754262911027E-2</v>
      </c>
      <c r="S17" s="26">
        <f t="shared" si="9"/>
        <v>-8267801709.8500366</v>
      </c>
      <c r="T17" s="26">
        <f t="shared" si="9"/>
        <v>-629303828.00001526</v>
      </c>
      <c r="U17" s="37">
        <f t="shared" si="9"/>
        <v>-7638497881.8499756</v>
      </c>
      <c r="V17" s="1"/>
      <c r="W17" s="1"/>
      <c r="X17" s="1"/>
    </row>
    <row r="18" spans="2:2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74"/>
      <c r="U19" s="1"/>
      <c r="V19" s="1"/>
      <c r="W19" s="1"/>
      <c r="X19" s="1"/>
    </row>
    <row r="20" spans="2:24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5"/>
      <c r="O20" s="1"/>
      <c r="P20" s="1"/>
      <c r="Q20" s="1"/>
      <c r="R20" s="1"/>
      <c r="S20" s="1"/>
      <c r="T20" s="33">
        <v>-31121083659.419998</v>
      </c>
      <c r="U20" s="1"/>
      <c r="V20" s="1"/>
      <c r="W20" s="1"/>
      <c r="X20" s="1"/>
    </row>
    <row r="21" spans="2:24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01"/>
      <c r="U21" s="1"/>
      <c r="V21" s="1"/>
      <c r="W21" s="1"/>
      <c r="X21" s="1"/>
    </row>
    <row r="22" spans="2:24" x14ac:dyDescent="0.3">
      <c r="T22" s="33"/>
    </row>
    <row r="23" spans="2:24" x14ac:dyDescent="0.3">
      <c r="T23" s="33">
        <v>-10662695210.169983</v>
      </c>
    </row>
  </sheetData>
  <mergeCells count="5">
    <mergeCell ref="B1:X1"/>
    <mergeCell ref="B4:B5"/>
    <mergeCell ref="C4:J4"/>
    <mergeCell ref="L4:R4"/>
    <mergeCell ref="S4:U4"/>
  </mergeCells>
  <conditionalFormatting sqref="B6:L12">
    <cfRule type="containsText" dxfId="47" priority="5" operator="containsText" text="Proyecto">
      <formula>NOT(ISERROR(SEARCH("Proyecto",B6)))</formula>
    </cfRule>
    <cfRule type="expression" dxfId="46" priority="6">
      <formula>#REF!="Total"</formula>
    </cfRule>
  </conditionalFormatting>
  <conditionalFormatting sqref="G14:M14 O14:X14">
    <cfRule type="containsText" dxfId="45" priority="11" operator="containsText" text="Proyecto">
      <formula>NOT(ISERROR(SEARCH("Proyecto",G14)))</formula>
    </cfRule>
  </conditionalFormatting>
  <conditionalFormatting sqref="G17:M17 O17:U17">
    <cfRule type="containsText" dxfId="44" priority="9" operator="containsText" text="Proyecto">
      <formula>NOT(ISERROR(SEARCH("Proyecto",G17)))</formula>
    </cfRule>
    <cfRule type="expression" dxfId="43" priority="10">
      <formula>#REF!="Total"</formula>
    </cfRule>
  </conditionalFormatting>
  <conditionalFormatting sqref="Q6:Q12 G14:M14 O14:X14">
    <cfRule type="expression" dxfId="42" priority="13">
      <formula>#REF!="Total"</formula>
    </cfRule>
  </conditionalFormatting>
  <conditionalFormatting sqref="Q6:Q12">
    <cfRule type="containsText" dxfId="41" priority="12" operator="containsText" text="Proyecto">
      <formula>NOT(ISERROR(SEARCH("Proyecto",Q6)))</formula>
    </cfRule>
  </conditionalFormatting>
  <conditionalFormatting sqref="S15:U15">
    <cfRule type="containsText" dxfId="40" priority="7" operator="containsText" text="Proyecto">
      <formula>NOT(ISERROR(SEARCH("Proyecto",S15)))</formula>
    </cfRule>
    <cfRule type="expression" dxfId="39" priority="8">
      <formula>#REF!="Total"</formula>
    </cfRule>
  </conditionalFormatting>
  <conditionalFormatting sqref="S6:W12">
    <cfRule type="containsText" dxfId="38" priority="1" operator="containsText" text="Proyecto">
      <formula>NOT(ISERROR(SEARCH("Proyecto",S6)))</formula>
    </cfRule>
    <cfRule type="expression" dxfId="37" priority="2">
      <formula>#REF!="Total"</formula>
    </cfRule>
  </conditionalFormatting>
  <conditionalFormatting sqref="T21">
    <cfRule type="containsText" dxfId="36" priority="3" operator="containsText" text="Proyecto">
      <formula>NOT(ISERROR(SEARCH("Proyecto",T21)))</formula>
    </cfRule>
    <cfRule type="expression" dxfId="35" priority="4">
      <formula>#REF!="Total"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68C4-9E19-4972-9CEC-B2554B79ED93}">
  <dimension ref="B1:X23"/>
  <sheetViews>
    <sheetView topLeftCell="J1" workbookViewId="0">
      <selection activeCell="C14" sqref="C14:X14"/>
    </sheetView>
  </sheetViews>
  <sheetFormatPr baseColWidth="10" defaultColWidth="11.44140625" defaultRowHeight="13.8" x14ac:dyDescent="0.3"/>
  <cols>
    <col min="1" max="1" width="4.6640625" style="109" customWidth="1"/>
    <col min="2" max="2" width="31" style="109" bestFit="1" customWidth="1"/>
    <col min="3" max="3" width="9.5546875" style="109" customWidth="1"/>
    <col min="4" max="6" width="11.6640625" style="109" bestFit="1" customWidth="1"/>
    <col min="7" max="7" width="13.33203125" style="109" bestFit="1" customWidth="1"/>
    <col min="8" max="9" width="12.109375" style="109" bestFit="1" customWidth="1"/>
    <col min="10" max="11" width="12" style="109" bestFit="1" customWidth="1"/>
    <col min="12" max="12" width="12.109375" style="109" bestFit="1" customWidth="1"/>
    <col min="13" max="13" width="18.33203125" style="109" bestFit="1" customWidth="1"/>
    <col min="14" max="14" width="10.33203125" style="109" bestFit="1" customWidth="1"/>
    <col min="15" max="16" width="11.6640625" style="109" bestFit="1" customWidth="1"/>
    <col min="17" max="17" width="12.109375" style="109" bestFit="1" customWidth="1"/>
    <col min="18" max="19" width="11.6640625" style="109" bestFit="1" customWidth="1"/>
    <col min="20" max="20" width="12.88671875" style="109" bestFit="1" customWidth="1"/>
    <col min="21" max="21" width="11.6640625" style="109" bestFit="1" customWidth="1"/>
    <col min="22" max="23" width="0" style="109" hidden="1" customWidth="1"/>
    <col min="24" max="24" width="11.6640625" style="109" bestFit="1" customWidth="1"/>
    <col min="25" max="26" width="12.6640625" style="109" bestFit="1" customWidth="1"/>
    <col min="27" max="16384" width="11.44140625" style="109"/>
  </cols>
  <sheetData>
    <row r="1" spans="2:24" ht="14.4" thickBot="1" x14ac:dyDescent="0.35">
      <c r="B1" s="165" t="s">
        <v>0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7"/>
    </row>
    <row r="2" spans="2:24" x14ac:dyDescent="0.3">
      <c r="K2" s="110"/>
    </row>
    <row r="3" spans="2:24" ht="14.4" thickBot="1" x14ac:dyDescent="0.35">
      <c r="B3" s="111" t="s">
        <v>47</v>
      </c>
    </row>
    <row r="4" spans="2:24" ht="14.4" thickBot="1" x14ac:dyDescent="0.35">
      <c r="B4" s="168" t="s">
        <v>2</v>
      </c>
      <c r="C4" s="170" t="s">
        <v>3</v>
      </c>
      <c r="D4" s="171"/>
      <c r="E4" s="171"/>
      <c r="F4" s="171"/>
      <c r="G4" s="171"/>
      <c r="H4" s="171"/>
      <c r="I4" s="171"/>
      <c r="J4" s="172"/>
      <c r="K4" s="112"/>
      <c r="L4" s="170" t="s">
        <v>4</v>
      </c>
      <c r="M4" s="171"/>
      <c r="N4" s="171"/>
      <c r="O4" s="171"/>
      <c r="P4" s="171"/>
      <c r="Q4" s="171"/>
      <c r="R4" s="172"/>
      <c r="S4" s="173" t="s">
        <v>5</v>
      </c>
      <c r="T4" s="173"/>
      <c r="U4" s="174"/>
      <c r="V4" s="113"/>
      <c r="W4" s="113"/>
      <c r="X4" s="112"/>
    </row>
    <row r="5" spans="2:24" ht="97.2" thickBot="1" x14ac:dyDescent="0.35">
      <c r="B5" s="169"/>
      <c r="C5" s="114" t="s">
        <v>6</v>
      </c>
      <c r="D5" s="114" t="s">
        <v>7</v>
      </c>
      <c r="E5" s="115" t="s">
        <v>8</v>
      </c>
      <c r="F5" s="115" t="s">
        <v>42</v>
      </c>
      <c r="G5" s="115" t="s">
        <v>10</v>
      </c>
      <c r="H5" s="115" t="s">
        <v>11</v>
      </c>
      <c r="I5" s="115" t="s">
        <v>12</v>
      </c>
      <c r="J5" s="114" t="s">
        <v>13</v>
      </c>
      <c r="K5" s="116" t="s">
        <v>14</v>
      </c>
      <c r="L5" s="117" t="s">
        <v>15</v>
      </c>
      <c r="M5" s="118" t="s">
        <v>16</v>
      </c>
      <c r="N5" s="118" t="s">
        <v>17</v>
      </c>
      <c r="O5" s="119" t="s">
        <v>18</v>
      </c>
      <c r="P5" s="119" t="s">
        <v>19</v>
      </c>
      <c r="Q5" s="119" t="s">
        <v>20</v>
      </c>
      <c r="R5" s="120" t="s">
        <v>21</v>
      </c>
      <c r="S5" s="121" t="s">
        <v>22</v>
      </c>
      <c r="T5" s="121" t="s">
        <v>23</v>
      </c>
      <c r="U5" s="121" t="s">
        <v>24</v>
      </c>
      <c r="V5" s="122" t="s">
        <v>25</v>
      </c>
      <c r="W5" s="122" t="s">
        <v>26</v>
      </c>
      <c r="X5" s="122" t="s">
        <v>27</v>
      </c>
    </row>
    <row r="6" spans="2:24" x14ac:dyDescent="0.3">
      <c r="B6" s="123" t="s">
        <v>28</v>
      </c>
      <c r="C6" s="38">
        <v>303</v>
      </c>
      <c r="D6" s="39">
        <v>298</v>
      </c>
      <c r="E6" s="39">
        <v>299</v>
      </c>
      <c r="F6" s="39">
        <f>C6-D6</f>
        <v>5</v>
      </c>
      <c r="G6" s="40">
        <f>H6+J6</f>
        <v>134342749999</v>
      </c>
      <c r="H6" s="41">
        <f t="shared" ref="H6:H12" si="0">L6+S6</f>
        <v>130357076633</v>
      </c>
      <c r="I6" s="41">
        <v>98716690998</v>
      </c>
      <c r="J6" s="42">
        <v>3985673366</v>
      </c>
      <c r="K6" s="53">
        <v>129635086138.04001</v>
      </c>
      <c r="L6" s="54">
        <f t="shared" ref="L6:L12" si="1">M6+N6</f>
        <v>129257105277.56</v>
      </c>
      <c r="M6" s="106">
        <v>129257105277.56</v>
      </c>
      <c r="N6" s="13">
        <v>0</v>
      </c>
      <c r="O6" s="14">
        <f>L6/H6</f>
        <v>0.9915618592879557</v>
      </c>
      <c r="P6" s="14">
        <f>M6/I6</f>
        <v>1.3093743719608546</v>
      </c>
      <c r="Q6" s="41">
        <v>256834713.05000001</v>
      </c>
      <c r="R6" s="107">
        <f t="shared" ref="R6:R10" si="2">Q6/K6</f>
        <v>1.9812129624885147E-3</v>
      </c>
      <c r="S6" s="44">
        <f>T6+U6</f>
        <v>1099971355.4400024</v>
      </c>
      <c r="T6" s="41">
        <v>0</v>
      </c>
      <c r="U6" s="41">
        <v>1099971355.4400024</v>
      </c>
      <c r="V6" s="46">
        <v>12</v>
      </c>
      <c r="W6" s="14" t="e">
        <v>#REF!</v>
      </c>
      <c r="X6" s="47">
        <v>46080</v>
      </c>
    </row>
    <row r="7" spans="2:24" x14ac:dyDescent="0.3">
      <c r="B7" s="124" t="s">
        <v>29</v>
      </c>
      <c r="C7" s="48">
        <v>293</v>
      </c>
      <c r="D7" s="49">
        <v>281</v>
      </c>
      <c r="E7" s="49">
        <v>284</v>
      </c>
      <c r="F7" s="49">
        <f>C7-D7</f>
        <v>12</v>
      </c>
      <c r="G7" s="50">
        <f>H7+J7</f>
        <v>160554208239</v>
      </c>
      <c r="H7" s="51">
        <f t="shared" si="0"/>
        <v>150661324848</v>
      </c>
      <c r="I7" s="51">
        <v>100252092933</v>
      </c>
      <c r="J7" s="52">
        <v>9892883391</v>
      </c>
      <c r="K7" s="53">
        <v>135711648383.91</v>
      </c>
      <c r="L7" s="54">
        <f t="shared" si="1"/>
        <v>114515906771.82999</v>
      </c>
      <c r="M7" s="90">
        <v>114515906771.82999</v>
      </c>
      <c r="N7" s="16">
        <v>0</v>
      </c>
      <c r="O7" s="17">
        <f t="shared" ref="O7:P11" si="3">L7/H7</f>
        <v>0.76008827671841728</v>
      </c>
      <c r="P7" s="17">
        <f>M7/I7</f>
        <v>1.1422794619196899</v>
      </c>
      <c r="Q7" s="51">
        <v>17880889090.150002</v>
      </c>
      <c r="R7" s="86">
        <f t="shared" si="2"/>
        <v>0.13175648003012513</v>
      </c>
      <c r="S7" s="54">
        <f t="shared" ref="S7:S12" si="4">T7+U7</f>
        <v>36145418076.170013</v>
      </c>
      <c r="T7" s="51">
        <v>0</v>
      </c>
      <c r="U7" s="51">
        <v>36145418076.170013</v>
      </c>
      <c r="V7" s="56">
        <v>2</v>
      </c>
      <c r="W7" s="17" t="e">
        <v>#REF!</v>
      </c>
      <c r="X7" s="88">
        <v>46080</v>
      </c>
    </row>
    <row r="8" spans="2:24" x14ac:dyDescent="0.3">
      <c r="B8" s="124" t="s">
        <v>30</v>
      </c>
      <c r="C8" s="48">
        <v>312</v>
      </c>
      <c r="D8" s="49">
        <v>296</v>
      </c>
      <c r="E8" s="49">
        <v>300</v>
      </c>
      <c r="F8" s="49">
        <f t="shared" ref="F8:F12" si="5">C8-D8</f>
        <v>16</v>
      </c>
      <c r="G8" s="50">
        <f t="shared" ref="G8:G12" si="6">H8+J8</f>
        <v>178147779022</v>
      </c>
      <c r="H8" s="51">
        <f t="shared" si="0"/>
        <v>166072191226</v>
      </c>
      <c r="I8" s="51">
        <v>63461454624</v>
      </c>
      <c r="J8" s="52">
        <v>12075587796</v>
      </c>
      <c r="K8" s="53">
        <v>59980814912.57</v>
      </c>
      <c r="L8" s="54">
        <f t="shared" si="1"/>
        <v>59884576312.209999</v>
      </c>
      <c r="M8" s="91">
        <v>59884576312.209999</v>
      </c>
      <c r="N8" s="16">
        <v>0</v>
      </c>
      <c r="O8" s="17">
        <f t="shared" si="3"/>
        <v>0.36059364225956309</v>
      </c>
      <c r="P8" s="17">
        <f t="shared" si="3"/>
        <v>0.94363699456650507</v>
      </c>
      <c r="Q8" s="51">
        <v>162001398</v>
      </c>
      <c r="R8" s="86">
        <f t="shared" si="2"/>
        <v>2.7008869125259224E-3</v>
      </c>
      <c r="S8" s="54">
        <f t="shared" si="4"/>
        <v>106187614913.79001</v>
      </c>
      <c r="T8" s="51">
        <v>3576878311.7900009</v>
      </c>
      <c r="U8" s="51">
        <v>102610736602</v>
      </c>
      <c r="V8" s="56">
        <v>11</v>
      </c>
      <c r="W8" s="17" t="e">
        <v>#REF!</v>
      </c>
      <c r="X8" s="88">
        <v>46080</v>
      </c>
    </row>
    <row r="9" spans="2:24" x14ac:dyDescent="0.3">
      <c r="B9" s="124" t="s">
        <v>31</v>
      </c>
      <c r="C9" s="48">
        <v>231</v>
      </c>
      <c r="D9" s="49">
        <v>197</v>
      </c>
      <c r="E9" s="49">
        <v>207</v>
      </c>
      <c r="F9" s="49">
        <f>C9-D9</f>
        <v>34</v>
      </c>
      <c r="G9" s="50">
        <f>H9+J9</f>
        <v>143730827139</v>
      </c>
      <c r="H9" s="51">
        <f t="shared" si="0"/>
        <v>116104633045</v>
      </c>
      <c r="I9" s="51">
        <v>36115992542</v>
      </c>
      <c r="J9" s="52">
        <v>27626194094</v>
      </c>
      <c r="K9" s="53">
        <v>31763555135.82</v>
      </c>
      <c r="L9" s="54">
        <f t="shared" si="1"/>
        <v>31265220226.760002</v>
      </c>
      <c r="M9" s="91">
        <v>31265220226.760002</v>
      </c>
      <c r="N9" s="16">
        <v>0</v>
      </c>
      <c r="O9" s="17">
        <f>L9/H9</f>
        <v>0.26928486320302292</v>
      </c>
      <c r="P9" s="17">
        <f t="shared" si="3"/>
        <v>0.86568907639464876</v>
      </c>
      <c r="Q9" s="51">
        <v>251669681</v>
      </c>
      <c r="R9" s="86">
        <f>Q9/K9</f>
        <v>7.9232214380244304E-3</v>
      </c>
      <c r="S9" s="54">
        <f t="shared" si="4"/>
        <v>84839412818.23999</v>
      </c>
      <c r="T9" s="51">
        <v>4850772315.2399979</v>
      </c>
      <c r="U9" s="51">
        <v>79988640503</v>
      </c>
      <c r="V9" s="56">
        <v>9</v>
      </c>
      <c r="W9" s="17" t="e">
        <v>#REF!</v>
      </c>
      <c r="X9" s="88">
        <v>46080</v>
      </c>
    </row>
    <row r="10" spans="2:24" x14ac:dyDescent="0.3">
      <c r="B10" s="124" t="s">
        <v>32</v>
      </c>
      <c r="C10" s="48">
        <v>237</v>
      </c>
      <c r="D10" s="49">
        <v>220</v>
      </c>
      <c r="E10" s="49">
        <v>222</v>
      </c>
      <c r="F10" s="49">
        <f>C10-D10</f>
        <v>17</v>
      </c>
      <c r="G10" s="50">
        <f>H10+J10</f>
        <v>176265854761</v>
      </c>
      <c r="H10" s="51">
        <f t="shared" si="0"/>
        <v>160267718541</v>
      </c>
      <c r="I10" s="51">
        <v>49400244903</v>
      </c>
      <c r="J10" s="52">
        <v>15998136220</v>
      </c>
      <c r="K10" s="53">
        <v>39877530325.989998</v>
      </c>
      <c r="L10" s="54">
        <f t="shared" si="1"/>
        <v>39470355724.989998</v>
      </c>
      <c r="M10" s="91">
        <v>39470355724.989998</v>
      </c>
      <c r="N10" s="16">
        <v>0</v>
      </c>
      <c r="O10" s="17">
        <f t="shared" si="3"/>
        <v>0.24627764146335318</v>
      </c>
      <c r="P10" s="17">
        <f>M10/I10</f>
        <v>0.79899109412295699</v>
      </c>
      <c r="Q10" s="50">
        <v>344632318</v>
      </c>
      <c r="R10" s="86">
        <f t="shared" si="2"/>
        <v>8.6422683446719731E-3</v>
      </c>
      <c r="S10" s="54">
        <f t="shared" si="4"/>
        <v>120797362816.01001</v>
      </c>
      <c r="T10" s="51">
        <v>9929889178.0100021</v>
      </c>
      <c r="U10" s="51">
        <v>110867473638</v>
      </c>
      <c r="V10" s="56">
        <v>6</v>
      </c>
      <c r="W10" s="17" t="e">
        <v>#REF!</v>
      </c>
      <c r="X10" s="88">
        <v>46080</v>
      </c>
    </row>
    <row r="11" spans="2:24" x14ac:dyDescent="0.3">
      <c r="B11" s="124" t="s">
        <v>33</v>
      </c>
      <c r="C11" s="48">
        <v>151</v>
      </c>
      <c r="D11" s="49">
        <v>115</v>
      </c>
      <c r="E11" s="49">
        <v>130</v>
      </c>
      <c r="F11" s="49">
        <f t="shared" si="5"/>
        <v>36</v>
      </c>
      <c r="G11" s="50">
        <f t="shared" si="6"/>
        <v>121858591918</v>
      </c>
      <c r="H11" s="51">
        <f t="shared" si="0"/>
        <v>86198872919</v>
      </c>
      <c r="I11" s="51">
        <v>25200587288</v>
      </c>
      <c r="J11" s="52">
        <v>35659718999</v>
      </c>
      <c r="K11" s="53">
        <v>7240204590.4800005</v>
      </c>
      <c r="L11" s="54">
        <f t="shared" si="1"/>
        <v>6781613888.4799995</v>
      </c>
      <c r="M11" s="91">
        <v>6781613888.4799995</v>
      </c>
      <c r="N11" s="16">
        <v>0</v>
      </c>
      <c r="O11" s="17">
        <f>L11/H11</f>
        <v>7.8674043625287265E-2</v>
      </c>
      <c r="P11" s="17">
        <f t="shared" si="3"/>
        <v>0.26910539071878153</v>
      </c>
      <c r="Q11" s="51">
        <v>219525814</v>
      </c>
      <c r="R11" s="86">
        <f>Q11/K11</f>
        <v>3.0320388223372869E-2</v>
      </c>
      <c r="S11" s="54">
        <f t="shared" si="4"/>
        <v>79417259030.520004</v>
      </c>
      <c r="T11" s="51">
        <v>18418973399.52</v>
      </c>
      <c r="U11" s="51">
        <v>60998285631</v>
      </c>
      <c r="V11" s="56">
        <v>5</v>
      </c>
      <c r="W11" s="17" t="e">
        <v>#REF!</v>
      </c>
      <c r="X11" s="88">
        <v>46080</v>
      </c>
    </row>
    <row r="12" spans="2:24" ht="14.4" thickBot="1" x14ac:dyDescent="0.35">
      <c r="B12" s="124" t="s">
        <v>34</v>
      </c>
      <c r="C12" s="58">
        <v>263</v>
      </c>
      <c r="D12" s="59">
        <v>126</v>
      </c>
      <c r="E12" s="59">
        <v>136</v>
      </c>
      <c r="F12" s="59">
        <f t="shared" si="5"/>
        <v>137</v>
      </c>
      <c r="G12" s="60">
        <f t="shared" si="6"/>
        <v>118610094602</v>
      </c>
      <c r="H12" s="61">
        <f t="shared" si="0"/>
        <v>47964603384</v>
      </c>
      <c r="I12" s="61">
        <v>16908425488</v>
      </c>
      <c r="J12" s="62">
        <v>70645491218</v>
      </c>
      <c r="K12" s="63">
        <v>14784030417</v>
      </c>
      <c r="L12" s="54">
        <f t="shared" si="1"/>
        <v>14764895943.659998</v>
      </c>
      <c r="M12" s="92">
        <v>14764895943.659998</v>
      </c>
      <c r="N12" s="21">
        <v>0</v>
      </c>
      <c r="O12" s="22">
        <f>L12/H12</f>
        <v>0.30782900101255212</v>
      </c>
      <c r="P12" s="22">
        <f>M12/I12</f>
        <v>0.87322713484698644</v>
      </c>
      <c r="Q12" s="61">
        <v>463434814</v>
      </c>
      <c r="R12" s="87">
        <f>Q12/K12</f>
        <v>3.1346987318634112E-2</v>
      </c>
      <c r="S12" s="64">
        <f t="shared" si="4"/>
        <v>33199707440.340004</v>
      </c>
      <c r="T12" s="61">
        <v>2143529544.3400021</v>
      </c>
      <c r="U12" s="61">
        <v>31056177896</v>
      </c>
      <c r="V12" s="66">
        <v>0</v>
      </c>
      <c r="W12" s="22" t="e">
        <v>#REF!</v>
      </c>
      <c r="X12" s="57">
        <v>46080</v>
      </c>
    </row>
    <row r="13" spans="2:24" ht="14.4" thickBot="1" x14ac:dyDescent="0.35"/>
    <row r="14" spans="2:24" ht="14.4" thickBot="1" x14ac:dyDescent="0.35">
      <c r="B14" s="125" t="s">
        <v>35</v>
      </c>
      <c r="C14" s="126">
        <f t="shared" ref="C14:N14" si="7">SUM(C6:C12)</f>
        <v>1790</v>
      </c>
      <c r="D14" s="108">
        <f t="shared" si="7"/>
        <v>1533</v>
      </c>
      <c r="E14" s="108">
        <f>SUM(E6:E12)</f>
        <v>1578</v>
      </c>
      <c r="F14" s="108">
        <f t="shared" si="7"/>
        <v>257</v>
      </c>
      <c r="G14" s="127">
        <f t="shared" si="7"/>
        <v>1033510105680</v>
      </c>
      <c r="H14" s="127">
        <f>SUM(H6:H12)</f>
        <v>857626420596</v>
      </c>
      <c r="I14" s="127">
        <f t="shared" si="7"/>
        <v>390055488776</v>
      </c>
      <c r="J14" s="127">
        <f t="shared" si="7"/>
        <v>175883685084</v>
      </c>
      <c r="K14" s="127">
        <f t="shared" si="7"/>
        <v>418992869903.81</v>
      </c>
      <c r="L14" s="127">
        <f t="shared" si="7"/>
        <v>395939674145.48993</v>
      </c>
      <c r="M14" s="128">
        <f t="shared" si="7"/>
        <v>395939674145.48993</v>
      </c>
      <c r="N14" s="129">
        <f t="shared" si="7"/>
        <v>0</v>
      </c>
      <c r="O14" s="130">
        <f>L14/H14</f>
        <v>0.46166916577772299</v>
      </c>
      <c r="P14" s="130">
        <f>M14/I14</f>
        <v>1.0150855084438233</v>
      </c>
      <c r="Q14" s="127">
        <f>SUM(Q6:Q12)</f>
        <v>19578987828.200001</v>
      </c>
      <c r="R14" s="130">
        <f>+Q14/K14</f>
        <v>4.672868975716659E-2</v>
      </c>
      <c r="S14" s="127">
        <f>SUM(S6:S12)</f>
        <v>461686746450.51007</v>
      </c>
      <c r="T14" s="127">
        <f>SUM(T6:T12)</f>
        <v>38920042748.900002</v>
      </c>
      <c r="U14" s="127">
        <f>SUM(U6:U12)</f>
        <v>422766703701.60999</v>
      </c>
      <c r="V14" s="131">
        <f>SUM(V6:V12)</f>
        <v>45</v>
      </c>
      <c r="W14" s="131"/>
      <c r="X14" s="132"/>
    </row>
    <row r="15" spans="2:24" x14ac:dyDescent="0.3">
      <c r="C15" s="133">
        <v>1790</v>
      </c>
      <c r="D15" s="134">
        <v>1521</v>
      </c>
      <c r="E15" s="134">
        <v>1567</v>
      </c>
      <c r="F15" s="134">
        <v>269</v>
      </c>
      <c r="G15" s="134">
        <v>1032614239882.8</v>
      </c>
      <c r="H15" s="134">
        <v>843600457270.80005</v>
      </c>
      <c r="I15" s="134">
        <v>380383840879.79999</v>
      </c>
      <c r="J15" s="134">
        <v>189013782612</v>
      </c>
      <c r="K15" s="134">
        <v>409509111104.15002</v>
      </c>
      <c r="L15" s="134">
        <v>386447704507.72992</v>
      </c>
      <c r="M15" s="134">
        <v>386447704507.72992</v>
      </c>
      <c r="N15" s="134">
        <v>0</v>
      </c>
      <c r="O15" s="134">
        <v>0.45809328477364519</v>
      </c>
      <c r="P15" s="134">
        <v>1.015941433300386</v>
      </c>
      <c r="Q15" s="134">
        <v>16539968173.199999</v>
      </c>
      <c r="R15" s="134">
        <v>4.0389744024506957E-2</v>
      </c>
      <c r="S15" s="135">
        <v>457152752763.07001</v>
      </c>
      <c r="T15" s="135">
        <v>35719915241.659996</v>
      </c>
      <c r="U15" s="135">
        <v>421432837521.41003</v>
      </c>
      <c r="V15" s="109">
        <v>45</v>
      </c>
    </row>
    <row r="16" spans="2:24" ht="14.4" thickBot="1" x14ac:dyDescent="0.35">
      <c r="H16" s="136"/>
      <c r="J16" s="137"/>
    </row>
    <row r="17" spans="2:21" ht="14.4" thickBot="1" x14ac:dyDescent="0.35">
      <c r="B17" s="125" t="s">
        <v>36</v>
      </c>
      <c r="C17" s="126">
        <f>+C14-C15</f>
        <v>0</v>
      </c>
      <c r="D17" s="108">
        <f>+D14-D15</f>
        <v>12</v>
      </c>
      <c r="E17" s="108">
        <f t="shared" ref="E17:U17" si="8">+E14-E15</f>
        <v>11</v>
      </c>
      <c r="F17" s="108">
        <f>+F14-F15</f>
        <v>-12</v>
      </c>
      <c r="G17" s="127">
        <f>+G14-G15</f>
        <v>895865797.19995117</v>
      </c>
      <c r="H17" s="127">
        <f t="shared" si="8"/>
        <v>14025963325.199951</v>
      </c>
      <c r="I17" s="127">
        <f t="shared" si="8"/>
        <v>9671647896.2000122</v>
      </c>
      <c r="J17" s="127">
        <f>+J14-J15</f>
        <v>-13130097528</v>
      </c>
      <c r="K17" s="127">
        <f t="shared" si="8"/>
        <v>9483758799.6599731</v>
      </c>
      <c r="L17" s="127">
        <f>+L14-L15</f>
        <v>9491969637.7600098</v>
      </c>
      <c r="M17" s="128">
        <f t="shared" si="8"/>
        <v>9491969637.7600098</v>
      </c>
      <c r="N17" s="129">
        <f t="shared" si="8"/>
        <v>0</v>
      </c>
      <c r="O17" s="130">
        <f t="shared" si="8"/>
        <v>3.5758810040777966E-3</v>
      </c>
      <c r="P17" s="130">
        <f t="shared" si="8"/>
        <v>-8.5592485656271755E-4</v>
      </c>
      <c r="Q17" s="127">
        <f t="shared" si="8"/>
        <v>3039019655.0000019</v>
      </c>
      <c r="R17" s="130">
        <f t="shared" si="8"/>
        <v>6.338945732659633E-3</v>
      </c>
      <c r="S17" s="127">
        <f t="shared" si="8"/>
        <v>4533993687.4400635</v>
      </c>
      <c r="T17" s="127">
        <f t="shared" si="8"/>
        <v>3200127507.2400055</v>
      </c>
      <c r="U17" s="138">
        <f t="shared" si="8"/>
        <v>1333866180.1999512</v>
      </c>
    </row>
    <row r="19" spans="2:21" x14ac:dyDescent="0.3">
      <c r="T19" s="139"/>
    </row>
    <row r="20" spans="2:21" x14ac:dyDescent="0.3">
      <c r="N20" s="136"/>
      <c r="T20" s="134">
        <v>-31121083659.419998</v>
      </c>
    </row>
    <row r="21" spans="2:21" x14ac:dyDescent="0.3">
      <c r="T21" s="101"/>
    </row>
    <row r="22" spans="2:21" x14ac:dyDescent="0.3">
      <c r="T22" s="134"/>
    </row>
    <row r="23" spans="2:21" x14ac:dyDescent="0.3">
      <c r="T23" s="134">
        <v>-10662695210.169983</v>
      </c>
    </row>
  </sheetData>
  <mergeCells count="5">
    <mergeCell ref="B1:X1"/>
    <mergeCell ref="B4:B5"/>
    <mergeCell ref="C4:J4"/>
    <mergeCell ref="L4:R4"/>
    <mergeCell ref="S4:U4"/>
  </mergeCells>
  <conditionalFormatting sqref="B6:L12">
    <cfRule type="containsText" dxfId="34" priority="1" operator="containsText" text="Proyecto">
      <formula>NOT(ISERROR(SEARCH("Proyecto",B6)))</formula>
    </cfRule>
    <cfRule type="expression" dxfId="33" priority="2">
      <formula>#REF!="Total"</formula>
    </cfRule>
  </conditionalFormatting>
  <conditionalFormatting sqref="G14:M14 O14:X14">
    <cfRule type="containsText" dxfId="32" priority="13" operator="containsText" text="Proyecto">
      <formula>NOT(ISERROR(SEARCH("Proyecto",G14)))</formula>
    </cfRule>
  </conditionalFormatting>
  <conditionalFormatting sqref="G17:M17 O17:U17">
    <cfRule type="containsText" dxfId="31" priority="11" operator="containsText" text="Proyecto">
      <formula>NOT(ISERROR(SEARCH("Proyecto",G17)))</formula>
    </cfRule>
    <cfRule type="expression" dxfId="30" priority="12">
      <formula>#REF!="Total"</formula>
    </cfRule>
  </conditionalFormatting>
  <conditionalFormatting sqref="Q6:Q12 G14:M14 O14:X14">
    <cfRule type="expression" dxfId="29" priority="15">
      <formula>#REF!="Total"</formula>
    </cfRule>
  </conditionalFormatting>
  <conditionalFormatting sqref="Q6:Q12">
    <cfRule type="containsText" dxfId="28" priority="14" operator="containsText" text="Proyecto">
      <formula>NOT(ISERROR(SEARCH("Proyecto",Q6)))</formula>
    </cfRule>
  </conditionalFormatting>
  <conditionalFormatting sqref="S15:U15">
    <cfRule type="containsText" dxfId="27" priority="9" operator="containsText" text="Proyecto">
      <formula>NOT(ISERROR(SEARCH("Proyecto",S15)))</formula>
    </cfRule>
    <cfRule type="expression" dxfId="26" priority="10">
      <formula>#REF!="Total"</formula>
    </cfRule>
  </conditionalFormatting>
  <conditionalFormatting sqref="S6:W12">
    <cfRule type="containsText" dxfId="25" priority="3" operator="containsText" text="Proyecto">
      <formula>NOT(ISERROR(SEARCH("Proyecto",S6)))</formula>
    </cfRule>
    <cfRule type="expression" dxfId="24" priority="4">
      <formula>#REF!="Total"</formula>
    </cfRule>
  </conditionalFormatting>
  <conditionalFormatting sqref="T21">
    <cfRule type="containsText" dxfId="23" priority="5" operator="containsText" text="Proyecto">
      <formula>NOT(ISERROR(SEARCH("Proyecto",T21)))</formula>
    </cfRule>
    <cfRule type="expression" dxfId="22" priority="6">
      <formula>#REF!="Total"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39AA-1E3A-45F0-81E5-0600FF564E37}">
  <dimension ref="B1:X24"/>
  <sheetViews>
    <sheetView topLeftCell="A5" workbookViewId="0">
      <selection activeCell="D12" sqref="D12"/>
    </sheetView>
  </sheetViews>
  <sheetFormatPr baseColWidth="10" defaultColWidth="11.44140625" defaultRowHeight="13.8" x14ac:dyDescent="0.3"/>
  <cols>
    <col min="1" max="1" width="4.6640625" style="109" customWidth="1"/>
    <col min="2" max="2" width="31" style="109" bestFit="1" customWidth="1"/>
    <col min="3" max="3" width="9.5546875" style="109" customWidth="1"/>
    <col min="4" max="6" width="11.6640625" style="109" bestFit="1" customWidth="1"/>
    <col min="7" max="7" width="19.44140625" style="109" bestFit="1" customWidth="1"/>
    <col min="8" max="8" width="18" style="109" bestFit="1" customWidth="1"/>
    <col min="9" max="9" width="15.44140625" style="109" customWidth="1"/>
    <col min="10" max="10" width="16" style="109" customWidth="1"/>
    <col min="11" max="11" width="15.6640625" style="109" hidden="1" customWidth="1"/>
    <col min="12" max="12" width="16" style="109" customWidth="1"/>
    <col min="13" max="13" width="18.44140625" style="109" hidden="1" customWidth="1"/>
    <col min="14" max="14" width="13" style="109" hidden="1" customWidth="1"/>
    <col min="15" max="16" width="11.88671875" style="109" bestFit="1" customWidth="1"/>
    <col min="17" max="17" width="17" style="109" bestFit="1" customWidth="1"/>
    <col min="18" max="18" width="11.88671875" style="109" bestFit="1" customWidth="1"/>
    <col min="19" max="19" width="18" style="109" bestFit="1" customWidth="1"/>
    <col min="20" max="20" width="17" style="109" bestFit="1" customWidth="1"/>
    <col min="21" max="21" width="18" style="109" bestFit="1" customWidth="1"/>
    <col min="22" max="23" width="0" style="109" hidden="1" customWidth="1"/>
    <col min="24" max="24" width="11.6640625" style="109" bestFit="1" customWidth="1"/>
    <col min="25" max="26" width="12.6640625" style="109" bestFit="1" customWidth="1"/>
    <col min="27" max="16384" width="11.44140625" style="109"/>
  </cols>
  <sheetData>
    <row r="1" spans="2:24" ht="14.4" thickBot="1" x14ac:dyDescent="0.35">
      <c r="B1" s="165" t="s">
        <v>0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7"/>
    </row>
    <row r="2" spans="2:24" x14ac:dyDescent="0.3">
      <c r="K2" s="110"/>
    </row>
    <row r="3" spans="2:24" ht="14.4" thickBot="1" x14ac:dyDescent="0.35">
      <c r="B3" s="111" t="s">
        <v>48</v>
      </c>
    </row>
    <row r="4" spans="2:24" ht="14.4" thickBot="1" x14ac:dyDescent="0.35">
      <c r="B4" s="168" t="s">
        <v>2</v>
      </c>
      <c r="C4" s="170" t="s">
        <v>3</v>
      </c>
      <c r="D4" s="171"/>
      <c r="E4" s="171"/>
      <c r="F4" s="171"/>
      <c r="G4" s="171"/>
      <c r="H4" s="171"/>
      <c r="I4" s="171"/>
      <c r="J4" s="172"/>
      <c r="K4" s="112"/>
      <c r="L4" s="170" t="s">
        <v>4</v>
      </c>
      <c r="M4" s="171"/>
      <c r="N4" s="171"/>
      <c r="O4" s="171"/>
      <c r="P4" s="171"/>
      <c r="Q4" s="171"/>
      <c r="R4" s="172"/>
      <c r="S4" s="173" t="s">
        <v>5</v>
      </c>
      <c r="T4" s="173"/>
      <c r="U4" s="174"/>
      <c r="V4" s="113"/>
      <c r="W4" s="113"/>
      <c r="X4" s="112"/>
    </row>
    <row r="5" spans="2:24" ht="88.5" customHeight="1" thickBot="1" x14ac:dyDescent="0.35">
      <c r="B5" s="169"/>
      <c r="C5" s="114" t="s">
        <v>6</v>
      </c>
      <c r="D5" s="114" t="s">
        <v>7</v>
      </c>
      <c r="E5" s="115" t="s">
        <v>8</v>
      </c>
      <c r="F5" s="115" t="s">
        <v>42</v>
      </c>
      <c r="G5" s="115" t="s">
        <v>10</v>
      </c>
      <c r="H5" s="115" t="s">
        <v>11</v>
      </c>
      <c r="I5" s="115" t="s">
        <v>12</v>
      </c>
      <c r="J5" s="114" t="s">
        <v>13</v>
      </c>
      <c r="K5" s="116" t="s">
        <v>14</v>
      </c>
      <c r="L5" s="117" t="s">
        <v>15</v>
      </c>
      <c r="M5" s="118" t="s">
        <v>16</v>
      </c>
      <c r="N5" s="118" t="s">
        <v>17</v>
      </c>
      <c r="O5" s="119" t="s">
        <v>18</v>
      </c>
      <c r="P5" s="119" t="s">
        <v>19</v>
      </c>
      <c r="Q5" s="119" t="s">
        <v>20</v>
      </c>
      <c r="R5" s="120" t="s">
        <v>21</v>
      </c>
      <c r="S5" s="121" t="s">
        <v>22</v>
      </c>
      <c r="T5" s="121" t="s">
        <v>23</v>
      </c>
      <c r="U5" s="121" t="s">
        <v>24</v>
      </c>
      <c r="V5" s="122" t="s">
        <v>25</v>
      </c>
      <c r="W5" s="122" t="s">
        <v>26</v>
      </c>
      <c r="X5" s="122" t="s">
        <v>27</v>
      </c>
    </row>
    <row r="6" spans="2:24" ht="14.4" thickBot="1" x14ac:dyDescent="0.35">
      <c r="B6" s="123" t="s">
        <v>28</v>
      </c>
      <c r="C6" s="38">
        <v>303</v>
      </c>
      <c r="D6" s="39">
        <v>298</v>
      </c>
      <c r="E6" s="39">
        <v>303</v>
      </c>
      <c r="F6" s="39">
        <f>C6-D6</f>
        <v>5</v>
      </c>
      <c r="G6" s="40">
        <f>H6+J6</f>
        <v>134144979265</v>
      </c>
      <c r="H6" s="41">
        <f t="shared" ref="H6:H12" si="0">L6+S6</f>
        <v>130357076633</v>
      </c>
      <c r="I6" s="41">
        <v>98716690998</v>
      </c>
      <c r="J6" s="42">
        <v>3787902632</v>
      </c>
      <c r="K6" s="53">
        <v>130722977745</v>
      </c>
      <c r="L6" s="54">
        <f t="shared" ref="L6:L12" si="1">M6+N6</f>
        <v>130137064404.66</v>
      </c>
      <c r="M6" s="106">
        <v>130137064404.66</v>
      </c>
      <c r="N6" s="13">
        <v>0</v>
      </c>
      <c r="O6" s="14">
        <f>L6/H6</f>
        <v>0.99831223410325931</v>
      </c>
      <c r="P6" s="14">
        <f>M6/I6</f>
        <v>1.3182883572069548</v>
      </c>
      <c r="Q6" s="41">
        <v>256834713</v>
      </c>
      <c r="R6" s="107">
        <f t="shared" ref="R6:R10" si="2">Q6/K6</f>
        <v>1.9647250807046709E-3</v>
      </c>
      <c r="S6" s="44">
        <f>T6+U6</f>
        <v>220012228.33999634</v>
      </c>
      <c r="T6" s="51">
        <v>0</v>
      </c>
      <c r="U6" s="51">
        <f>31640385635+T23</f>
        <v>220012228.33999634</v>
      </c>
      <c r="V6" s="46">
        <v>12</v>
      </c>
      <c r="W6" s="14" t="e">
        <f>V6/#REF!</f>
        <v>#REF!</v>
      </c>
      <c r="X6" s="47">
        <v>46112</v>
      </c>
    </row>
    <row r="7" spans="2:24" ht="14.4" thickBot="1" x14ac:dyDescent="0.35">
      <c r="B7" s="124" t="s">
        <v>29</v>
      </c>
      <c r="C7" s="48">
        <v>293</v>
      </c>
      <c r="D7" s="49">
        <v>280</v>
      </c>
      <c r="E7" s="49">
        <v>286</v>
      </c>
      <c r="F7" s="49">
        <f>C7-D7</f>
        <v>13</v>
      </c>
      <c r="G7" s="50">
        <f>H7+J7</f>
        <v>161882233145</v>
      </c>
      <c r="H7" s="51">
        <f t="shared" si="0"/>
        <v>152065752040</v>
      </c>
      <c r="I7" s="51">
        <v>100306070037</v>
      </c>
      <c r="J7" s="52">
        <v>9816481105</v>
      </c>
      <c r="K7" s="53">
        <v>132954220612</v>
      </c>
      <c r="L7" s="54">
        <f t="shared" si="1"/>
        <v>119739248564.53</v>
      </c>
      <c r="M7" s="90">
        <v>119739248564.53</v>
      </c>
      <c r="N7" s="16">
        <v>0</v>
      </c>
      <c r="O7" s="17">
        <f t="shared" ref="O7:P11" si="3">L7/H7</f>
        <v>0.78741759375926601</v>
      </c>
      <c r="P7" s="17">
        <f>M7/I7</f>
        <v>1.1937388088314262</v>
      </c>
      <c r="Q7" s="51">
        <v>12213795652</v>
      </c>
      <c r="R7" s="86">
        <f t="shared" si="2"/>
        <v>9.1864670378862909E-2</v>
      </c>
      <c r="S7" s="54">
        <f t="shared" ref="S7:S12" si="4">T7+U7</f>
        <v>32326503475.470001</v>
      </c>
      <c r="T7" s="51">
        <v>0</v>
      </c>
      <c r="U7" s="51">
        <f>51759682003+T21</f>
        <v>32326503475.470001</v>
      </c>
      <c r="V7" s="56">
        <v>2</v>
      </c>
      <c r="W7" s="17" t="e">
        <f>V7/#REF!</f>
        <v>#REF!</v>
      </c>
      <c r="X7" s="47">
        <v>46112</v>
      </c>
    </row>
    <row r="8" spans="2:24" ht="14.4" thickBot="1" x14ac:dyDescent="0.35">
      <c r="B8" s="124" t="s">
        <v>30</v>
      </c>
      <c r="C8" s="48">
        <v>312</v>
      </c>
      <c r="D8" s="49">
        <v>296</v>
      </c>
      <c r="E8" s="49">
        <v>300</v>
      </c>
      <c r="F8" s="49">
        <f t="shared" ref="F8:F12" si="5">C8-D8</f>
        <v>16</v>
      </c>
      <c r="G8" s="50">
        <f t="shared" ref="G8:G12" si="6">H8+J8</f>
        <v>178791797496</v>
      </c>
      <c r="H8" s="51">
        <f t="shared" si="0"/>
        <v>167340079893</v>
      </c>
      <c r="I8" s="51">
        <v>65078775331</v>
      </c>
      <c r="J8" s="52">
        <v>11451717603</v>
      </c>
      <c r="K8" s="53">
        <v>59744329270</v>
      </c>
      <c r="L8" s="54">
        <f t="shared" si="1"/>
        <v>60133617830.209999</v>
      </c>
      <c r="M8" s="91">
        <v>60133617830.209999</v>
      </c>
      <c r="N8" s="16">
        <v>0</v>
      </c>
      <c r="O8" s="17">
        <f t="shared" si="3"/>
        <v>0.359349761686862</v>
      </c>
      <c r="P8" s="17">
        <f t="shared" si="3"/>
        <v>0.92401274492892316</v>
      </c>
      <c r="Q8" s="51">
        <v>189047271</v>
      </c>
      <c r="R8" s="86">
        <f t="shared" si="2"/>
        <v>3.1642713762112338E-3</v>
      </c>
      <c r="S8" s="54">
        <f t="shared" si="4"/>
        <v>107206462062.79001</v>
      </c>
      <c r="T8" s="51">
        <f t="shared" ref="T8:T11" si="7">+I8-L8</f>
        <v>4945157500.7900009</v>
      </c>
      <c r="U8" s="51">
        <v>102261304562</v>
      </c>
      <c r="V8" s="56">
        <v>11</v>
      </c>
      <c r="W8" s="17" t="e">
        <f>V8/#REF!</f>
        <v>#REF!</v>
      </c>
      <c r="X8" s="47">
        <v>46112</v>
      </c>
    </row>
    <row r="9" spans="2:24" ht="14.4" thickBot="1" x14ac:dyDescent="0.35">
      <c r="B9" s="124" t="s">
        <v>31</v>
      </c>
      <c r="C9" s="48">
        <v>231</v>
      </c>
      <c r="D9" s="49">
        <v>198</v>
      </c>
      <c r="E9" s="49">
        <v>207</v>
      </c>
      <c r="F9" s="49">
        <f>C9-D9</f>
        <v>33</v>
      </c>
      <c r="G9" s="50">
        <f>H9+J9</f>
        <v>143731316432</v>
      </c>
      <c r="H9" s="51">
        <f t="shared" si="0"/>
        <v>116141079347</v>
      </c>
      <c r="I9" s="51">
        <v>36126926433</v>
      </c>
      <c r="J9" s="52">
        <v>27590237085</v>
      </c>
      <c r="K9" s="53">
        <v>31355055698</v>
      </c>
      <c r="L9" s="54">
        <f t="shared" si="1"/>
        <v>31834829857.860001</v>
      </c>
      <c r="M9" s="91">
        <v>31834829857.860001</v>
      </c>
      <c r="N9" s="16">
        <v>0</v>
      </c>
      <c r="O9" s="17">
        <f>L9/H9</f>
        <v>0.27410482179819967</v>
      </c>
      <c r="P9" s="17">
        <f t="shared" si="3"/>
        <v>0.88119397361134488</v>
      </c>
      <c r="Q9" s="51">
        <v>200173690</v>
      </c>
      <c r="R9" s="86">
        <f>Q9/K9</f>
        <v>6.3840961383706991E-3</v>
      </c>
      <c r="S9" s="54">
        <f t="shared" si="4"/>
        <v>84306249489.139999</v>
      </c>
      <c r="T9" s="51">
        <f t="shared" si="7"/>
        <v>4292096575.1399994</v>
      </c>
      <c r="U9" s="51">
        <v>80014152914</v>
      </c>
      <c r="V9" s="56">
        <v>9</v>
      </c>
      <c r="W9" s="17" t="e">
        <f>V9/#REF!</f>
        <v>#REF!</v>
      </c>
      <c r="X9" s="47">
        <v>46112</v>
      </c>
    </row>
    <row r="10" spans="2:24" ht="14.4" thickBot="1" x14ac:dyDescent="0.35">
      <c r="B10" s="124" t="s">
        <v>32</v>
      </c>
      <c r="C10" s="48">
        <v>237</v>
      </c>
      <c r="D10" s="49">
        <v>220</v>
      </c>
      <c r="E10" s="49">
        <v>222</v>
      </c>
      <c r="F10" s="49">
        <f>C10-D10</f>
        <v>17</v>
      </c>
      <c r="G10" s="50">
        <f>H10+J10</f>
        <v>176259046781</v>
      </c>
      <c r="H10" s="51">
        <f t="shared" si="0"/>
        <v>160260910561</v>
      </c>
      <c r="I10" s="51">
        <v>49404301719</v>
      </c>
      <c r="J10" s="52">
        <v>15998136220</v>
      </c>
      <c r="K10" s="53">
        <v>40464424302.989998</v>
      </c>
      <c r="L10" s="54">
        <f t="shared" si="1"/>
        <v>40136939897.989998</v>
      </c>
      <c r="M10" s="91">
        <v>40136939897.989998</v>
      </c>
      <c r="N10" s="16">
        <v>0</v>
      </c>
      <c r="O10" s="17">
        <f t="shared" si="3"/>
        <v>0.25044747192243549</v>
      </c>
      <c r="P10" s="17">
        <f>M10/I10</f>
        <v>0.81241791709311939</v>
      </c>
      <c r="Q10" s="50">
        <v>370802353</v>
      </c>
      <c r="R10" s="86">
        <f t="shared" si="2"/>
        <v>9.1636631284681518E-3</v>
      </c>
      <c r="S10" s="54">
        <f t="shared" si="4"/>
        <v>120123970663.01001</v>
      </c>
      <c r="T10" s="51">
        <f t="shared" si="7"/>
        <v>9267361821.0100021</v>
      </c>
      <c r="U10" s="51">
        <v>110856608842</v>
      </c>
      <c r="V10" s="56">
        <v>6</v>
      </c>
      <c r="W10" s="17" t="e">
        <f>V10/#REF!</f>
        <v>#REF!</v>
      </c>
      <c r="X10" s="47">
        <v>46112</v>
      </c>
    </row>
    <row r="11" spans="2:24" ht="14.4" thickBot="1" x14ac:dyDescent="0.35">
      <c r="B11" s="124" t="s">
        <v>33</v>
      </c>
      <c r="C11" s="48">
        <v>151</v>
      </c>
      <c r="D11" s="49">
        <v>122</v>
      </c>
      <c r="E11" s="49">
        <v>126</v>
      </c>
      <c r="F11" s="49">
        <f t="shared" si="5"/>
        <v>29</v>
      </c>
      <c r="G11" s="50">
        <f t="shared" si="6"/>
        <v>121836310273</v>
      </c>
      <c r="H11" s="51">
        <f t="shared" si="0"/>
        <v>88245332903</v>
      </c>
      <c r="I11" s="51">
        <v>25813504721</v>
      </c>
      <c r="J11" s="52">
        <v>33590977370</v>
      </c>
      <c r="K11" s="53">
        <v>7543836130.4800005</v>
      </c>
      <c r="L11" s="54">
        <f t="shared" si="1"/>
        <v>7214965429.4799995</v>
      </c>
      <c r="M11" s="91">
        <v>7214965429.4799995</v>
      </c>
      <c r="N11" s="16">
        <v>0</v>
      </c>
      <c r="O11" s="17">
        <f>L11/H11</f>
        <v>8.1760306093589669E-2</v>
      </c>
      <c r="P11" s="17">
        <f t="shared" si="3"/>
        <v>0.27950351986146327</v>
      </c>
      <c r="Q11" s="51">
        <v>247000816</v>
      </c>
      <c r="R11" s="86">
        <f>Q11/K11</f>
        <v>3.2742070708829646E-2</v>
      </c>
      <c r="S11" s="54">
        <f t="shared" si="4"/>
        <v>81030367473.520004</v>
      </c>
      <c r="T11" s="51">
        <f t="shared" si="7"/>
        <v>18598539291.52</v>
      </c>
      <c r="U11" s="51">
        <v>62431828182</v>
      </c>
      <c r="V11" s="56">
        <v>5</v>
      </c>
      <c r="W11" s="17" t="e">
        <f>V11/#REF!</f>
        <v>#REF!</v>
      </c>
      <c r="X11" s="47">
        <v>46112</v>
      </c>
    </row>
    <row r="12" spans="2:24" ht="14.4" thickBot="1" x14ac:dyDescent="0.35">
      <c r="B12" s="124" t="s">
        <v>34</v>
      </c>
      <c r="C12" s="58">
        <v>263</v>
      </c>
      <c r="D12" s="59">
        <v>155</v>
      </c>
      <c r="E12" s="59">
        <v>181</v>
      </c>
      <c r="F12" s="59">
        <f t="shared" si="5"/>
        <v>108</v>
      </c>
      <c r="G12" s="60">
        <f t="shared" si="6"/>
        <v>117221390047</v>
      </c>
      <c r="H12" s="61">
        <f t="shared" si="0"/>
        <v>60656622058</v>
      </c>
      <c r="I12" s="61">
        <v>21943367954</v>
      </c>
      <c r="J12" s="62">
        <v>56564767989</v>
      </c>
      <c r="K12" s="63">
        <v>15130822522.659998</v>
      </c>
      <c r="L12" s="54">
        <f t="shared" si="1"/>
        <v>15347839436.659998</v>
      </c>
      <c r="M12" s="92">
        <v>15347839436.659998</v>
      </c>
      <c r="N12" s="21">
        <v>0</v>
      </c>
      <c r="O12" s="22">
        <f>L12/H12</f>
        <v>0.25302825834884701</v>
      </c>
      <c r="P12" s="22">
        <f>M12/I12</f>
        <v>0.69942952553289706</v>
      </c>
      <c r="Q12" s="61">
        <v>51749508</v>
      </c>
      <c r="R12" s="87">
        <f>Q12/K12</f>
        <v>3.4201384572781599E-3</v>
      </c>
      <c r="S12" s="64">
        <f t="shared" si="4"/>
        <v>45308782621.340004</v>
      </c>
      <c r="T12" s="61">
        <f>+I12-L12</f>
        <v>6595528517.3400021</v>
      </c>
      <c r="U12" s="61">
        <v>38713254104</v>
      </c>
      <c r="V12" s="66">
        <v>0</v>
      </c>
      <c r="W12" s="22" t="e">
        <f>V12/#REF!</f>
        <v>#REF!</v>
      </c>
      <c r="X12" s="47">
        <v>46112</v>
      </c>
    </row>
    <row r="13" spans="2:24" ht="14.4" thickBot="1" x14ac:dyDescent="0.35"/>
    <row r="14" spans="2:24" ht="14.4" thickBot="1" x14ac:dyDescent="0.35">
      <c r="B14" s="125" t="s">
        <v>35</v>
      </c>
      <c r="C14" s="126">
        <f t="shared" ref="C14:N14" si="8">SUM(C6:C12)</f>
        <v>1790</v>
      </c>
      <c r="D14" s="108">
        <f t="shared" si="8"/>
        <v>1569</v>
      </c>
      <c r="E14" s="108">
        <f>SUM(E6:E12)</f>
        <v>1625</v>
      </c>
      <c r="F14" s="108">
        <f t="shared" si="8"/>
        <v>221</v>
      </c>
      <c r="G14" s="127">
        <f t="shared" si="8"/>
        <v>1033867073439</v>
      </c>
      <c r="H14" s="127">
        <f>SUM(H6:H12)</f>
        <v>875066853435</v>
      </c>
      <c r="I14" s="127">
        <f t="shared" si="8"/>
        <v>397389637193</v>
      </c>
      <c r="J14" s="127">
        <f t="shared" si="8"/>
        <v>158800220004</v>
      </c>
      <c r="K14" s="127">
        <f t="shared" si="8"/>
        <v>417915666281.12994</v>
      </c>
      <c r="L14" s="127">
        <f t="shared" si="8"/>
        <v>404544505421.38995</v>
      </c>
      <c r="M14" s="128">
        <f t="shared" si="8"/>
        <v>404544505421.38995</v>
      </c>
      <c r="N14" s="129">
        <f t="shared" si="8"/>
        <v>0</v>
      </c>
      <c r="O14" s="130">
        <f>L14/H14</f>
        <v>0.46230125599362509</v>
      </c>
      <c r="P14" s="130">
        <f>M14/I14</f>
        <v>1.0180046673560212</v>
      </c>
      <c r="Q14" s="127">
        <f>SUM(Q6:Q12)</f>
        <v>13529404003</v>
      </c>
      <c r="R14" s="130">
        <f>+Q14/K14</f>
        <v>3.2373526753358972E-2</v>
      </c>
      <c r="S14" s="127">
        <f>SUM(S6:S12)</f>
        <v>470522348013.61005</v>
      </c>
      <c r="T14" s="127">
        <f>SUM(T6:T12)</f>
        <v>43698683705.800011</v>
      </c>
      <c r="U14" s="127">
        <f>SUM(U6:U12)</f>
        <v>426823664307.81</v>
      </c>
      <c r="V14" s="131">
        <f>SUM(V6:V12)</f>
        <v>45</v>
      </c>
      <c r="W14" s="131"/>
      <c r="X14" s="132"/>
    </row>
    <row r="15" spans="2:24" x14ac:dyDescent="0.3">
      <c r="C15" s="133">
        <v>1790</v>
      </c>
      <c r="D15" s="134">
        <v>1533</v>
      </c>
      <c r="E15" s="134">
        <v>1578</v>
      </c>
      <c r="F15" s="134">
        <v>257</v>
      </c>
      <c r="G15" s="134">
        <v>1033510105680</v>
      </c>
      <c r="H15" s="134">
        <v>857626420596</v>
      </c>
      <c r="I15" s="134">
        <v>390055488776</v>
      </c>
      <c r="J15" s="134">
        <v>175883685084</v>
      </c>
      <c r="K15" s="134">
        <v>418992869903.81</v>
      </c>
      <c r="L15" s="134">
        <v>395939674145.48993</v>
      </c>
      <c r="M15" s="134">
        <v>395939674145.48993</v>
      </c>
      <c r="N15" s="134">
        <v>0</v>
      </c>
      <c r="O15" s="134">
        <v>0.46166916577772299</v>
      </c>
      <c r="P15" s="134">
        <v>1.0150855084438233</v>
      </c>
      <c r="Q15" s="134">
        <v>19578987828.200001</v>
      </c>
      <c r="R15" s="134">
        <v>4.672868975716659E-2</v>
      </c>
      <c r="S15" s="135">
        <v>461686746450.51007</v>
      </c>
      <c r="T15" s="135">
        <v>38920042748.900002</v>
      </c>
      <c r="U15" s="135">
        <v>422766703701.60999</v>
      </c>
      <c r="V15" s="109">
        <v>45</v>
      </c>
    </row>
    <row r="16" spans="2:24" ht="14.4" thickBot="1" x14ac:dyDescent="0.35">
      <c r="H16" s="136"/>
      <c r="J16" s="137"/>
    </row>
    <row r="17" spans="2:21" ht="14.4" thickBot="1" x14ac:dyDescent="0.35">
      <c r="B17" s="125" t="s">
        <v>36</v>
      </c>
      <c r="C17" s="126">
        <f>+C14-C15</f>
        <v>0</v>
      </c>
      <c r="D17" s="108">
        <f>+D14-D15</f>
        <v>36</v>
      </c>
      <c r="E17" s="108">
        <f t="shared" ref="E17:U17" si="9">+E14-E15</f>
        <v>47</v>
      </c>
      <c r="F17" s="108">
        <f>+F14-F15</f>
        <v>-36</v>
      </c>
      <c r="G17" s="127">
        <f>+G14-G15</f>
        <v>356967759</v>
      </c>
      <c r="H17" s="127">
        <f t="shared" si="9"/>
        <v>17440432839</v>
      </c>
      <c r="I17" s="127">
        <f t="shared" si="9"/>
        <v>7334148417</v>
      </c>
      <c r="J17" s="127">
        <f>+J14-J15</f>
        <v>-17083465080</v>
      </c>
      <c r="K17" s="127">
        <f t="shared" si="9"/>
        <v>-1077203622.6800537</v>
      </c>
      <c r="L17" s="127">
        <f>+L14-L15</f>
        <v>8604831275.9000244</v>
      </c>
      <c r="M17" s="128">
        <f t="shared" si="9"/>
        <v>8604831275.9000244</v>
      </c>
      <c r="N17" s="129">
        <f t="shared" si="9"/>
        <v>0</v>
      </c>
      <c r="O17" s="130">
        <f t="shared" si="9"/>
        <v>6.3209021590210357E-4</v>
      </c>
      <c r="P17" s="130">
        <f t="shared" si="9"/>
        <v>2.9191589121979611E-3</v>
      </c>
      <c r="Q17" s="127">
        <f t="shared" si="9"/>
        <v>-6049583825.2000008</v>
      </c>
      <c r="R17" s="130">
        <f t="shared" si="9"/>
        <v>-1.4355163003807618E-2</v>
      </c>
      <c r="S17" s="127">
        <f t="shared" si="9"/>
        <v>8835601563.0999756</v>
      </c>
      <c r="T17" s="127">
        <f t="shared" si="9"/>
        <v>4778640956.9000092</v>
      </c>
      <c r="U17" s="138">
        <f t="shared" si="9"/>
        <v>4056960606.2000122</v>
      </c>
    </row>
    <row r="19" spans="2:21" x14ac:dyDescent="0.3"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</row>
    <row r="20" spans="2:21" x14ac:dyDescent="0.3">
      <c r="N20" s="136"/>
      <c r="T20" s="134">
        <v>-31121083659.419998</v>
      </c>
    </row>
    <row r="21" spans="2:21" x14ac:dyDescent="0.3">
      <c r="T21" s="33">
        <v>-19433178527.529999</v>
      </c>
    </row>
    <row r="22" spans="2:21" ht="14.4" x14ac:dyDescent="0.3">
      <c r="T22"/>
    </row>
    <row r="23" spans="2:21" x14ac:dyDescent="0.3">
      <c r="T23" s="33">
        <v>-31420373406.660004</v>
      </c>
    </row>
    <row r="24" spans="2:21" ht="14.4" x14ac:dyDescent="0.3">
      <c r="T24"/>
    </row>
  </sheetData>
  <mergeCells count="5">
    <mergeCell ref="B1:X1"/>
    <mergeCell ref="B4:B5"/>
    <mergeCell ref="C4:J4"/>
    <mergeCell ref="L4:R4"/>
    <mergeCell ref="S4:U4"/>
  </mergeCells>
  <conditionalFormatting sqref="B6:L12">
    <cfRule type="containsText" dxfId="21" priority="5" operator="containsText" text="Proyecto">
      <formula>NOT(ISERROR(SEARCH("Proyecto",B6)))</formula>
    </cfRule>
    <cfRule type="expression" dxfId="20" priority="6">
      <formula>#REF!="Total"</formula>
    </cfRule>
  </conditionalFormatting>
  <conditionalFormatting sqref="G14:M14 O14:X14">
    <cfRule type="containsText" dxfId="19" priority="15" operator="containsText" text="Proyecto">
      <formula>NOT(ISERROR(SEARCH("Proyecto",G14)))</formula>
    </cfRule>
  </conditionalFormatting>
  <conditionalFormatting sqref="G17:M17 O17:U17">
    <cfRule type="containsText" dxfId="18" priority="13" operator="containsText" text="Proyecto">
      <formula>NOT(ISERROR(SEARCH("Proyecto",G17)))</formula>
    </cfRule>
    <cfRule type="expression" dxfId="17" priority="14">
      <formula>#REF!="Total"</formula>
    </cfRule>
  </conditionalFormatting>
  <conditionalFormatting sqref="Q6:Q12 G14:M14 O14:X14">
    <cfRule type="expression" dxfId="16" priority="17">
      <formula>#REF!="Total"</formula>
    </cfRule>
  </conditionalFormatting>
  <conditionalFormatting sqref="Q6:Q12">
    <cfRule type="containsText" dxfId="15" priority="16" operator="containsText" text="Proyecto">
      <formula>NOT(ISERROR(SEARCH("Proyecto",Q6)))</formula>
    </cfRule>
  </conditionalFormatting>
  <conditionalFormatting sqref="S6:S12">
    <cfRule type="expression" dxfId="14" priority="8">
      <formula>#REF!="Total"</formula>
    </cfRule>
  </conditionalFormatting>
  <conditionalFormatting sqref="S15:U15">
    <cfRule type="containsText" dxfId="13" priority="11" operator="containsText" text="Proyecto">
      <formula>NOT(ISERROR(SEARCH("Proyecto",S15)))</formula>
    </cfRule>
    <cfRule type="expression" dxfId="12" priority="12">
      <formula>#REF!="Total"</formula>
    </cfRule>
  </conditionalFormatting>
  <conditionalFormatting sqref="S6:W12">
    <cfRule type="containsText" dxfId="11" priority="1" operator="containsText" text="Proyecto">
      <formula>NOT(ISERROR(SEARCH("Proyecto",S6)))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3A2F-8F19-4A74-9374-50527CED2A26}">
  <dimension ref="B1:X24"/>
  <sheetViews>
    <sheetView showGridLines="0" tabSelected="1" zoomScale="70" zoomScaleNormal="70" workbookViewId="0">
      <selection activeCell="G9" sqref="G9"/>
    </sheetView>
  </sheetViews>
  <sheetFormatPr baseColWidth="10" defaultColWidth="11.44140625" defaultRowHeight="13.8" x14ac:dyDescent="0.3"/>
  <cols>
    <col min="1" max="1" width="2.5546875" style="109" customWidth="1"/>
    <col min="2" max="2" width="31" style="109" bestFit="1" customWidth="1"/>
    <col min="3" max="3" width="9" style="109" customWidth="1"/>
    <col min="4" max="4" width="11.109375" style="109" customWidth="1"/>
    <col min="5" max="6" width="11.6640625" style="109" bestFit="1" customWidth="1"/>
    <col min="7" max="7" width="19.109375" style="109" customWidth="1"/>
    <col min="8" max="8" width="18" style="109" bestFit="1" customWidth="1"/>
    <col min="9" max="9" width="13.6640625" style="109" customWidth="1"/>
    <col min="10" max="10" width="15.109375" style="109" customWidth="1"/>
    <col min="11" max="11" width="14" style="109" hidden="1" customWidth="1"/>
    <col min="12" max="12" width="14.88671875" style="109" customWidth="1"/>
    <col min="13" max="13" width="18.33203125" style="109" hidden="1" customWidth="1"/>
    <col min="14" max="14" width="12.109375" style="109" hidden="1" customWidth="1"/>
    <col min="15" max="16" width="11.88671875" style="109" bestFit="1" customWidth="1"/>
    <col min="17" max="17" width="15.5546875" style="109" customWidth="1"/>
    <col min="18" max="18" width="11.88671875" style="109" bestFit="1" customWidth="1"/>
    <col min="19" max="19" width="17.44140625" style="109" customWidth="1"/>
    <col min="20" max="20" width="16.6640625" style="109" customWidth="1"/>
    <col min="21" max="21" width="17.109375" style="109" customWidth="1"/>
    <col min="22" max="23" width="0" style="109" hidden="1" customWidth="1"/>
    <col min="24" max="24" width="11.6640625" style="109" bestFit="1" customWidth="1"/>
    <col min="25" max="26" width="12.6640625" style="109" bestFit="1" customWidth="1"/>
    <col min="27" max="16384" width="11.44140625" style="109"/>
  </cols>
  <sheetData>
    <row r="1" spans="2:24" ht="34.200000000000003" customHeight="1" thickBot="1" x14ac:dyDescent="0.35">
      <c r="B1" s="175" t="s">
        <v>0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7"/>
    </row>
    <row r="2" spans="2:24" x14ac:dyDescent="0.3">
      <c r="K2" s="110"/>
    </row>
    <row r="3" spans="2:24" ht="14.4" thickBot="1" x14ac:dyDescent="0.35">
      <c r="B3" s="111" t="s">
        <v>49</v>
      </c>
    </row>
    <row r="4" spans="2:24" ht="14.4" thickBot="1" x14ac:dyDescent="0.35">
      <c r="B4" s="168" t="s">
        <v>2</v>
      </c>
      <c r="C4" s="170" t="s">
        <v>3</v>
      </c>
      <c r="D4" s="171"/>
      <c r="E4" s="171"/>
      <c r="F4" s="171"/>
      <c r="G4" s="171"/>
      <c r="H4" s="171"/>
      <c r="I4" s="171"/>
      <c r="J4" s="172"/>
      <c r="K4" s="112"/>
      <c r="L4" s="170" t="s">
        <v>4</v>
      </c>
      <c r="M4" s="171"/>
      <c r="N4" s="171"/>
      <c r="O4" s="171"/>
      <c r="P4" s="171"/>
      <c r="Q4" s="171"/>
      <c r="R4" s="172"/>
      <c r="S4" s="173" t="s">
        <v>5</v>
      </c>
      <c r="T4" s="173"/>
      <c r="U4" s="174"/>
      <c r="V4" s="113"/>
      <c r="W4" s="113"/>
      <c r="X4" s="112"/>
    </row>
    <row r="5" spans="2:24" ht="88.5" customHeight="1" thickBot="1" x14ac:dyDescent="0.35">
      <c r="B5" s="169"/>
      <c r="C5" s="114" t="s">
        <v>6</v>
      </c>
      <c r="D5" s="114" t="s">
        <v>7</v>
      </c>
      <c r="E5" s="115" t="s">
        <v>8</v>
      </c>
      <c r="F5" s="115" t="s">
        <v>42</v>
      </c>
      <c r="G5" s="115" t="s">
        <v>10</v>
      </c>
      <c r="H5" s="115" t="s">
        <v>11</v>
      </c>
      <c r="I5" s="115" t="s">
        <v>12</v>
      </c>
      <c r="J5" s="114" t="s">
        <v>13</v>
      </c>
      <c r="K5" s="116" t="s">
        <v>14</v>
      </c>
      <c r="L5" s="141" t="s">
        <v>15</v>
      </c>
      <c r="M5" s="142" t="s">
        <v>16</v>
      </c>
      <c r="N5" s="142" t="s">
        <v>17</v>
      </c>
      <c r="O5" s="143" t="s">
        <v>18</v>
      </c>
      <c r="P5" s="143" t="s">
        <v>19</v>
      </c>
      <c r="Q5" s="143" t="s">
        <v>20</v>
      </c>
      <c r="R5" s="144" t="s">
        <v>21</v>
      </c>
      <c r="S5" s="145" t="s">
        <v>22</v>
      </c>
      <c r="T5" s="146" t="s">
        <v>23</v>
      </c>
      <c r="U5" s="146" t="s">
        <v>24</v>
      </c>
      <c r="V5" s="122" t="s">
        <v>25</v>
      </c>
      <c r="W5" s="122" t="s">
        <v>26</v>
      </c>
      <c r="X5" s="122" t="s">
        <v>27</v>
      </c>
    </row>
    <row r="6" spans="2:24" ht="36" customHeight="1" thickBot="1" x14ac:dyDescent="0.35">
      <c r="B6" s="123" t="s">
        <v>28</v>
      </c>
      <c r="C6" s="38">
        <v>303</v>
      </c>
      <c r="D6" s="39">
        <v>298</v>
      </c>
      <c r="E6" s="39">
        <v>303</v>
      </c>
      <c r="F6" s="39">
        <f>C6-D6</f>
        <v>5</v>
      </c>
      <c r="G6" s="40">
        <f>H6+J6</f>
        <v>134113343585</v>
      </c>
      <c r="H6" s="41">
        <f t="shared" ref="H6:H12" si="0">L6+S6</f>
        <v>130325440953</v>
      </c>
      <c r="I6" s="41">
        <v>99049527118</v>
      </c>
      <c r="J6" s="42">
        <v>3787902632</v>
      </c>
      <c r="K6" s="53">
        <v>130635842064.70999</v>
      </c>
      <c r="L6" s="75">
        <f t="shared" ref="L6:L12" si="1">M6+N6</f>
        <v>130192564403.97</v>
      </c>
      <c r="M6" s="140">
        <v>130192564403.97</v>
      </c>
      <c r="N6" s="76">
        <v>0</v>
      </c>
      <c r="O6" s="77">
        <f>L6/H6</f>
        <v>0.99898042509537399</v>
      </c>
      <c r="P6" s="77">
        <f>M6/I6</f>
        <v>1.3144188386570343</v>
      </c>
      <c r="Q6" s="78">
        <v>256834713.05000001</v>
      </c>
      <c r="R6" s="85">
        <f t="shared" ref="R6:R10" si="2">Q6/K6</f>
        <v>1.9660355763832247E-3</v>
      </c>
      <c r="S6" s="75">
        <f>T6+U6</f>
        <v>132876549.02999878</v>
      </c>
      <c r="T6" s="78">
        <v>0</v>
      </c>
      <c r="U6" s="78">
        <f>31275913835+T23</f>
        <v>132876549.02999878</v>
      </c>
      <c r="V6" s="46">
        <v>12</v>
      </c>
      <c r="W6" s="107" t="e">
        <f>V6/#REF!</f>
        <v>#REF!</v>
      </c>
      <c r="X6" s="147">
        <v>46142</v>
      </c>
    </row>
    <row r="7" spans="2:24" ht="36" customHeight="1" thickBot="1" x14ac:dyDescent="0.35">
      <c r="B7" s="124" t="s">
        <v>29</v>
      </c>
      <c r="C7" s="48">
        <v>293</v>
      </c>
      <c r="D7" s="49">
        <v>283</v>
      </c>
      <c r="E7" s="49">
        <v>287</v>
      </c>
      <c r="F7" s="49">
        <f>C7-D7</f>
        <v>10</v>
      </c>
      <c r="G7" s="50">
        <f>H7+J7</f>
        <v>162557453269</v>
      </c>
      <c r="H7" s="51">
        <f t="shared" si="0"/>
        <v>154941917823</v>
      </c>
      <c r="I7" s="51">
        <v>103877795708</v>
      </c>
      <c r="J7" s="52">
        <v>7615535446</v>
      </c>
      <c r="K7" s="53">
        <v>135262472115.82001</v>
      </c>
      <c r="L7" s="54">
        <f t="shared" si="1"/>
        <v>121181028225.67</v>
      </c>
      <c r="M7" s="90">
        <v>121181028225.67</v>
      </c>
      <c r="N7" s="16">
        <v>0</v>
      </c>
      <c r="O7" s="17">
        <f t="shared" ref="O7:P11" si="3">L7/H7</f>
        <v>0.78210615905827874</v>
      </c>
      <c r="P7" s="17">
        <f>M7/I7</f>
        <v>1.166572965856046</v>
      </c>
      <c r="Q7" s="51">
        <v>7769375246.1499996</v>
      </c>
      <c r="R7" s="86">
        <f t="shared" si="2"/>
        <v>5.7439252178515449E-2</v>
      </c>
      <c r="S7" s="54">
        <f t="shared" ref="S7:S12" si="4">T7+U7</f>
        <v>33760889597.330002</v>
      </c>
      <c r="T7" s="51">
        <v>0</v>
      </c>
      <c r="U7" s="51">
        <f>51064122115+T21</f>
        <v>33760889597.330002</v>
      </c>
      <c r="V7" s="56">
        <v>2</v>
      </c>
      <c r="W7" s="86" t="e">
        <f>V7/#REF!</f>
        <v>#REF!</v>
      </c>
      <c r="X7" s="147">
        <v>46142</v>
      </c>
    </row>
    <row r="8" spans="2:24" ht="36" customHeight="1" thickBot="1" x14ac:dyDescent="0.35">
      <c r="B8" s="124" t="s">
        <v>30</v>
      </c>
      <c r="C8" s="48">
        <v>312</v>
      </c>
      <c r="D8" s="49">
        <v>297</v>
      </c>
      <c r="E8" s="49">
        <v>302</v>
      </c>
      <c r="F8" s="49">
        <f t="shared" ref="F8:F12" si="5">C8-D8</f>
        <v>15</v>
      </c>
      <c r="G8" s="50">
        <f>H8+J8</f>
        <v>178896119222</v>
      </c>
      <c r="H8" s="51">
        <f t="shared" si="0"/>
        <v>167755735227</v>
      </c>
      <c r="I8" s="51">
        <v>65060323821</v>
      </c>
      <c r="J8" s="52">
        <v>11140383995</v>
      </c>
      <c r="K8" s="53">
        <v>60707939076.57</v>
      </c>
      <c r="L8" s="54">
        <f t="shared" si="1"/>
        <v>60559862362.209999</v>
      </c>
      <c r="M8" s="91">
        <v>60559862362.209999</v>
      </c>
      <c r="N8" s="16">
        <v>0</v>
      </c>
      <c r="O8" s="17">
        <f t="shared" si="3"/>
        <v>0.36100025003772862</v>
      </c>
      <c r="P8" s="17">
        <f t="shared" si="3"/>
        <v>0.93082632863660364</v>
      </c>
      <c r="Q8" s="51">
        <v>167866482</v>
      </c>
      <c r="R8" s="86">
        <f t="shared" si="2"/>
        <v>2.7651487524271343E-3</v>
      </c>
      <c r="S8" s="54">
        <f t="shared" si="4"/>
        <v>107195872864.79001</v>
      </c>
      <c r="T8" s="51">
        <f t="shared" ref="T8:T11" si="6">+I8-L8</f>
        <v>4500461458.7900009</v>
      </c>
      <c r="U8" s="51">
        <v>102695411406</v>
      </c>
      <c r="V8" s="56">
        <v>11</v>
      </c>
      <c r="W8" s="86" t="e">
        <v>#REF!</v>
      </c>
      <c r="X8" s="147">
        <v>46142</v>
      </c>
    </row>
    <row r="9" spans="2:24" ht="36" customHeight="1" thickBot="1" x14ac:dyDescent="0.35">
      <c r="B9" s="124" t="s">
        <v>31</v>
      </c>
      <c r="C9" s="48">
        <v>231</v>
      </c>
      <c r="D9" s="49">
        <v>202</v>
      </c>
      <c r="E9" s="49">
        <v>210</v>
      </c>
      <c r="F9" s="49">
        <f>C9-D9</f>
        <v>29</v>
      </c>
      <c r="G9" s="50">
        <f>H9+J9</f>
        <v>142835581904</v>
      </c>
      <c r="H9" s="51">
        <f t="shared" si="0"/>
        <v>117940792777</v>
      </c>
      <c r="I9" s="51">
        <v>36876905328</v>
      </c>
      <c r="J9" s="52">
        <v>24894789127</v>
      </c>
      <c r="K9" s="53">
        <v>31898254662.920002</v>
      </c>
      <c r="L9" s="54">
        <f t="shared" si="1"/>
        <v>32749787238.860001</v>
      </c>
      <c r="M9" s="91">
        <v>32749787238.860001</v>
      </c>
      <c r="N9" s="16">
        <v>0</v>
      </c>
      <c r="O9" s="17">
        <f>L9/H9</f>
        <v>0.277679897410751</v>
      </c>
      <c r="P9" s="17">
        <f t="shared" si="3"/>
        <v>0.88808393620799986</v>
      </c>
      <c r="Q9" s="51">
        <v>236227074</v>
      </c>
      <c r="R9" s="86">
        <f>Q9/K9</f>
        <v>7.4056426126223518E-3</v>
      </c>
      <c r="S9" s="54">
        <f t="shared" si="4"/>
        <v>85191005538.139999</v>
      </c>
      <c r="T9" s="51">
        <f t="shared" si="6"/>
        <v>4127118089.1399994</v>
      </c>
      <c r="U9" s="51">
        <v>81063887449</v>
      </c>
      <c r="V9" s="56">
        <v>9</v>
      </c>
      <c r="W9" s="86" t="e">
        <v>#REF!</v>
      </c>
      <c r="X9" s="147">
        <v>46142</v>
      </c>
    </row>
    <row r="10" spans="2:24" ht="36" customHeight="1" thickBot="1" x14ac:dyDescent="0.35">
      <c r="B10" s="124" t="s">
        <v>32</v>
      </c>
      <c r="C10" s="48">
        <v>237</v>
      </c>
      <c r="D10" s="49">
        <v>220</v>
      </c>
      <c r="E10" s="49">
        <v>222</v>
      </c>
      <c r="F10" s="49">
        <f>C10-D10</f>
        <v>17</v>
      </c>
      <c r="G10" s="50">
        <f>H10+J10</f>
        <v>176315042101</v>
      </c>
      <c r="H10" s="51">
        <f t="shared" si="0"/>
        <v>160316905881</v>
      </c>
      <c r="I10" s="51">
        <v>49781247871</v>
      </c>
      <c r="J10" s="52">
        <v>15998136220</v>
      </c>
      <c r="K10" s="53">
        <v>41384760848.989998</v>
      </c>
      <c r="L10" s="54">
        <f t="shared" si="1"/>
        <v>40858215004.989998</v>
      </c>
      <c r="M10" s="91">
        <v>40858215004.989998</v>
      </c>
      <c r="N10" s="16">
        <v>0</v>
      </c>
      <c r="O10" s="17">
        <f t="shared" si="3"/>
        <v>0.25485905419930088</v>
      </c>
      <c r="P10" s="17">
        <f>M10/I10</f>
        <v>0.82075513877971507</v>
      </c>
      <c r="Q10" s="50">
        <v>305677399</v>
      </c>
      <c r="R10" s="86">
        <f t="shared" si="2"/>
        <v>7.3862308910131137E-3</v>
      </c>
      <c r="S10" s="54">
        <f t="shared" si="4"/>
        <v>119458690876.01001</v>
      </c>
      <c r="T10" s="51">
        <f t="shared" si="6"/>
        <v>8923032866.0100021</v>
      </c>
      <c r="U10" s="51">
        <v>110535658010</v>
      </c>
      <c r="V10" s="56">
        <v>6</v>
      </c>
      <c r="W10" s="86" t="e">
        <v>#REF!</v>
      </c>
      <c r="X10" s="147">
        <v>46142</v>
      </c>
    </row>
    <row r="11" spans="2:24" ht="36" customHeight="1" thickBot="1" x14ac:dyDescent="0.35">
      <c r="B11" s="124" t="s">
        <v>33</v>
      </c>
      <c r="C11" s="48">
        <v>155</v>
      </c>
      <c r="D11" s="49">
        <v>125</v>
      </c>
      <c r="E11" s="49">
        <v>135</v>
      </c>
      <c r="F11" s="49">
        <f t="shared" si="5"/>
        <v>30</v>
      </c>
      <c r="G11" s="50">
        <f t="shared" ref="G8:G12" si="7">H11+J11</f>
        <v>124512728387</v>
      </c>
      <c r="H11" s="51">
        <f t="shared" si="0"/>
        <v>91650506625</v>
      </c>
      <c r="I11" s="51">
        <v>27377268122</v>
      </c>
      <c r="J11" s="52">
        <v>32862221762</v>
      </c>
      <c r="K11" s="53">
        <v>8374234349</v>
      </c>
      <c r="L11" s="54">
        <f t="shared" si="1"/>
        <v>7874856929.4799995</v>
      </c>
      <c r="M11" s="91">
        <v>7874856929.4799995</v>
      </c>
      <c r="N11" s="16">
        <v>0</v>
      </c>
      <c r="O11" s="17">
        <f>L11/H11</f>
        <v>8.5922677565777178E-2</v>
      </c>
      <c r="P11" s="17">
        <f t="shared" si="3"/>
        <v>0.28764217431730787</v>
      </c>
      <c r="Q11" s="51">
        <v>165821692</v>
      </c>
      <c r="R11" s="86">
        <f>Q11/K11</f>
        <v>1.9801415280407266E-2</v>
      </c>
      <c r="S11" s="54">
        <f t="shared" si="4"/>
        <v>83775649695.520004</v>
      </c>
      <c r="T11" s="51">
        <f t="shared" si="6"/>
        <v>19502411192.52</v>
      </c>
      <c r="U11" s="51">
        <v>64273238503</v>
      </c>
      <c r="V11" s="56">
        <v>5</v>
      </c>
      <c r="W11" s="86" t="e">
        <v>#REF!</v>
      </c>
      <c r="X11" s="147">
        <v>46142</v>
      </c>
    </row>
    <row r="12" spans="2:24" ht="36" customHeight="1" thickBot="1" x14ac:dyDescent="0.35">
      <c r="B12" s="124" t="s">
        <v>34</v>
      </c>
      <c r="C12" s="58">
        <v>285</v>
      </c>
      <c r="D12" s="59">
        <v>177</v>
      </c>
      <c r="E12" s="59">
        <v>181</v>
      </c>
      <c r="F12" s="59">
        <f t="shared" si="5"/>
        <v>108</v>
      </c>
      <c r="G12" s="60">
        <f t="shared" si="7"/>
        <v>144177600257</v>
      </c>
      <c r="H12" s="61">
        <f t="shared" si="0"/>
        <v>86716864396</v>
      </c>
      <c r="I12" s="61">
        <v>30199774561</v>
      </c>
      <c r="J12" s="62">
        <v>57460735861</v>
      </c>
      <c r="K12" s="63">
        <v>15356186833</v>
      </c>
      <c r="L12" s="54">
        <f t="shared" si="1"/>
        <v>15798846382.659998</v>
      </c>
      <c r="M12" s="92">
        <v>15798846382.659998</v>
      </c>
      <c r="N12" s="21">
        <v>0</v>
      </c>
      <c r="O12" s="22">
        <f>L12/H12</f>
        <v>0.18218885672010937</v>
      </c>
      <c r="P12" s="22">
        <f>M12/I12</f>
        <v>0.52314451390185657</v>
      </c>
      <c r="Q12" s="61">
        <v>90310808</v>
      </c>
      <c r="R12" s="87">
        <f>Q12/K12</f>
        <v>5.8810698894288449E-3</v>
      </c>
      <c r="S12" s="64">
        <f t="shared" si="4"/>
        <v>70918018013.339996</v>
      </c>
      <c r="T12" s="61">
        <f>+I12-L12</f>
        <v>14400928178.340002</v>
      </c>
      <c r="U12" s="61">
        <v>56517089835</v>
      </c>
      <c r="V12" s="66">
        <v>0</v>
      </c>
      <c r="W12" s="87" t="e">
        <v>#REF!</v>
      </c>
      <c r="X12" s="148">
        <v>46142</v>
      </c>
    </row>
    <row r="13" spans="2:24" ht="14.4" thickBot="1" x14ac:dyDescent="0.35"/>
    <row r="14" spans="2:24" ht="27.6" customHeight="1" thickBot="1" x14ac:dyDescent="0.35">
      <c r="B14" s="125" t="s">
        <v>35</v>
      </c>
      <c r="C14" s="126">
        <f t="shared" ref="C14:N14" si="8">SUM(C6:C12)</f>
        <v>1816</v>
      </c>
      <c r="D14" s="108">
        <f t="shared" si="8"/>
        <v>1602</v>
      </c>
      <c r="E14" s="108">
        <f>SUM(E6:E12)</f>
        <v>1640</v>
      </c>
      <c r="F14" s="108">
        <f t="shared" si="8"/>
        <v>214</v>
      </c>
      <c r="G14" s="127">
        <f t="shared" si="8"/>
        <v>1063407868725</v>
      </c>
      <c r="H14" s="127">
        <f>SUM(H6:H12)</f>
        <v>909648163682</v>
      </c>
      <c r="I14" s="127">
        <f t="shared" si="8"/>
        <v>412222842529</v>
      </c>
      <c r="J14" s="127">
        <f t="shared" si="8"/>
        <v>153759705043</v>
      </c>
      <c r="K14" s="127">
        <f t="shared" si="8"/>
        <v>423619689951.00995</v>
      </c>
      <c r="L14" s="127">
        <f t="shared" si="8"/>
        <v>409215160547.83997</v>
      </c>
      <c r="M14" s="128">
        <f t="shared" si="8"/>
        <v>409215160547.83997</v>
      </c>
      <c r="N14" s="129">
        <f t="shared" si="8"/>
        <v>0</v>
      </c>
      <c r="O14" s="130">
        <f>L14/H14</f>
        <v>0.44986092083278884</v>
      </c>
      <c r="P14" s="130">
        <f>M14/I14</f>
        <v>0.99270374741315204</v>
      </c>
      <c r="Q14" s="127">
        <f>SUM(Q6:Q12)</f>
        <v>8992113414.2000008</v>
      </c>
      <c r="R14" s="130">
        <f>+Q14/K14</f>
        <v>2.1226854245703041E-2</v>
      </c>
      <c r="S14" s="127">
        <f>SUM(S6:S12)</f>
        <v>500433003134.16003</v>
      </c>
      <c r="T14" s="127">
        <f>SUM(T6:T12)</f>
        <v>51453951784.800011</v>
      </c>
      <c r="U14" s="127">
        <f>SUM(U6:U12)</f>
        <v>448979051349.35999</v>
      </c>
      <c r="V14" s="131">
        <f>SUM(V6:V12)</f>
        <v>45</v>
      </c>
      <c r="W14" s="131"/>
      <c r="X14" s="132"/>
    </row>
    <row r="15" spans="2:24" x14ac:dyDescent="0.3">
      <c r="C15" s="133">
        <v>1790</v>
      </c>
      <c r="D15" s="134">
        <v>1569</v>
      </c>
      <c r="E15" s="134">
        <v>1625</v>
      </c>
      <c r="F15" s="134">
        <v>221</v>
      </c>
      <c r="G15" s="134">
        <v>1033867073439</v>
      </c>
      <c r="H15" s="134">
        <v>875066853435</v>
      </c>
      <c r="I15" s="134">
        <v>397389637193</v>
      </c>
      <c r="J15" s="134">
        <v>158800220004</v>
      </c>
      <c r="K15" s="134">
        <v>417915666281.12994</v>
      </c>
      <c r="L15" s="134">
        <v>404544505421.38995</v>
      </c>
      <c r="M15" s="134">
        <v>404544505421.38995</v>
      </c>
      <c r="N15" s="134">
        <v>0</v>
      </c>
      <c r="O15" s="134">
        <v>0.46230125599362509</v>
      </c>
      <c r="P15" s="134">
        <v>1.0180046673560212</v>
      </c>
      <c r="Q15" s="134">
        <v>13529404003</v>
      </c>
      <c r="R15" s="134">
        <v>3.2373526753358972E-2</v>
      </c>
      <c r="S15" s="135">
        <v>470522348013.61005</v>
      </c>
      <c r="T15" s="135">
        <v>43698683705.800011</v>
      </c>
      <c r="U15" s="135">
        <v>426823664307.81</v>
      </c>
      <c r="V15" s="109">
        <v>45</v>
      </c>
    </row>
    <row r="16" spans="2:24" ht="14.4" thickBot="1" x14ac:dyDescent="0.35">
      <c r="H16" s="136"/>
      <c r="J16" s="137"/>
    </row>
    <row r="17" spans="2:21" ht="29.4" customHeight="1" thickBot="1" x14ac:dyDescent="0.35">
      <c r="B17" s="125" t="s">
        <v>36</v>
      </c>
      <c r="C17" s="126">
        <f>+C14-C15</f>
        <v>26</v>
      </c>
      <c r="D17" s="108">
        <f>+D14-D15</f>
        <v>33</v>
      </c>
      <c r="E17" s="108">
        <f t="shared" ref="E17:U17" si="9">+E14-E15</f>
        <v>15</v>
      </c>
      <c r="F17" s="108">
        <f>+F14-F15</f>
        <v>-7</v>
      </c>
      <c r="G17" s="127">
        <f>+G14-G15</f>
        <v>29540795286</v>
      </c>
      <c r="H17" s="127">
        <f t="shared" si="9"/>
        <v>34581310247</v>
      </c>
      <c r="I17" s="127">
        <f t="shared" si="9"/>
        <v>14833205336</v>
      </c>
      <c r="J17" s="127">
        <f>+J14-J15</f>
        <v>-5040514961</v>
      </c>
      <c r="K17" s="127">
        <f t="shared" si="9"/>
        <v>5704023669.8800049</v>
      </c>
      <c r="L17" s="127">
        <f>+L14-L15</f>
        <v>4670655126.4500122</v>
      </c>
      <c r="M17" s="128">
        <f t="shared" si="9"/>
        <v>4670655126.4500122</v>
      </c>
      <c r="N17" s="129">
        <f t="shared" si="9"/>
        <v>0</v>
      </c>
      <c r="O17" s="130">
        <f t="shared" si="9"/>
        <v>-1.2440335160836258E-2</v>
      </c>
      <c r="P17" s="130">
        <f t="shared" si="9"/>
        <v>-2.5300919942869204E-2</v>
      </c>
      <c r="Q17" s="127">
        <f t="shared" si="9"/>
        <v>-4537290588.7999992</v>
      </c>
      <c r="R17" s="130">
        <f t="shared" si="9"/>
        <v>-1.1146672507655931E-2</v>
      </c>
      <c r="S17" s="127">
        <f t="shared" si="9"/>
        <v>29910655120.549988</v>
      </c>
      <c r="T17" s="127">
        <f t="shared" si="9"/>
        <v>7755268079</v>
      </c>
      <c r="U17" s="138">
        <f t="shared" si="9"/>
        <v>22155387041.549988</v>
      </c>
    </row>
    <row r="19" spans="2:21" x14ac:dyDescent="0.3"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</row>
    <row r="20" spans="2:21" x14ac:dyDescent="0.3">
      <c r="N20" s="136"/>
      <c r="T20" s="134">
        <v>-31121083659.419998</v>
      </c>
    </row>
    <row r="21" spans="2:21" x14ac:dyDescent="0.3">
      <c r="T21" s="33">
        <v>-17303232517.669998</v>
      </c>
    </row>
    <row r="22" spans="2:21" ht="14.4" x14ac:dyDescent="0.3">
      <c r="T22"/>
    </row>
    <row r="23" spans="2:21" x14ac:dyDescent="0.3">
      <c r="T23" s="33">
        <v>-31143037285.970001</v>
      </c>
    </row>
    <row r="24" spans="2:21" ht="14.4" x14ac:dyDescent="0.3">
      <c r="T24"/>
    </row>
  </sheetData>
  <mergeCells count="5">
    <mergeCell ref="B1:X1"/>
    <mergeCell ref="B4:B5"/>
    <mergeCell ref="C4:J4"/>
    <mergeCell ref="L4:R4"/>
    <mergeCell ref="S4:U4"/>
  </mergeCells>
  <conditionalFormatting sqref="B6:J11 L6:L11 B12:L12">
    <cfRule type="expression" dxfId="10" priority="6">
      <formula>#REF!="Total"</formula>
    </cfRule>
  </conditionalFormatting>
  <conditionalFormatting sqref="B6:L12">
    <cfRule type="containsText" dxfId="9" priority="3" operator="containsText" text="Proyecto">
      <formula>NOT(ISERROR(SEARCH("Proyecto",B6)))</formula>
    </cfRule>
  </conditionalFormatting>
  <conditionalFormatting sqref="G14:M14 O14:X14">
    <cfRule type="containsText" dxfId="8" priority="12" operator="containsText" text="Proyecto">
      <formula>NOT(ISERROR(SEARCH("Proyecto",G14)))</formula>
    </cfRule>
  </conditionalFormatting>
  <conditionalFormatting sqref="G17:M17 O17:U17">
    <cfRule type="containsText" dxfId="7" priority="10" operator="containsText" text="Proyecto">
      <formula>NOT(ISERROR(SEARCH("Proyecto",G17)))</formula>
    </cfRule>
    <cfRule type="expression" dxfId="6" priority="11">
      <formula>#REF!="Total"</formula>
    </cfRule>
  </conditionalFormatting>
  <conditionalFormatting sqref="Q6:Q12 G14:M14 O14:X14">
    <cfRule type="expression" dxfId="5" priority="14">
      <formula>#REF!="Total"</formula>
    </cfRule>
  </conditionalFormatting>
  <conditionalFormatting sqref="Q6:Q12">
    <cfRule type="containsText" dxfId="4" priority="13" operator="containsText" text="Proyecto">
      <formula>NOT(ISERROR(SEARCH("Proyecto",Q6)))</formula>
    </cfRule>
  </conditionalFormatting>
  <conditionalFormatting sqref="S6:S12">
    <cfRule type="expression" dxfId="3" priority="7">
      <formula>#REF!="Total"</formula>
    </cfRule>
  </conditionalFormatting>
  <conditionalFormatting sqref="S15:U15">
    <cfRule type="containsText" dxfId="2" priority="8" operator="containsText" text="Proyecto">
      <formula>NOT(ISERROR(SEARCH("Proyecto",S15)))</formula>
    </cfRule>
    <cfRule type="expression" dxfId="1" priority="9">
      <formula>#REF!="Total"</formula>
    </cfRule>
  </conditionalFormatting>
  <conditionalFormatting sqref="S6:W12">
    <cfRule type="containsText" dxfId="0" priority="1" operator="containsText" text="Proyecto">
      <formula>NOT(ISERROR(SEARCH("Proyecto",S6)))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Mayo </vt:lpstr>
      <vt:lpstr>Junio</vt:lpstr>
      <vt:lpstr>Julio </vt:lpstr>
      <vt:lpstr>Agosto</vt:lpstr>
      <vt:lpstr>Septiembre </vt:lpstr>
      <vt:lpstr>Octubre </vt:lpstr>
      <vt:lpstr>Noviembre</vt:lpstr>
      <vt:lpstr>Diciembre </vt:lpstr>
      <vt:lpstr>ENERO 2026</vt:lpstr>
      <vt:lpstr>FEBRERO 2026</vt:lpstr>
      <vt:lpstr>MARZO 2026</vt:lpstr>
      <vt:lpstr>ABRIL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Londoño</dc:creator>
  <cp:lastModifiedBy>Felipe Medina Romero</cp:lastModifiedBy>
  <dcterms:created xsi:type="dcterms:W3CDTF">2025-06-12T23:35:14Z</dcterms:created>
  <dcterms:modified xsi:type="dcterms:W3CDTF">2026-06-18T23:37:04Z</dcterms:modified>
</cp:coreProperties>
</file>