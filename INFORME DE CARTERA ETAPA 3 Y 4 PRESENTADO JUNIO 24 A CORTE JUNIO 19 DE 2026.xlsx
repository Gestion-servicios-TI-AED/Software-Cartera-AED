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aedcartagena-my.sharepoint.com/personal/acastellon_aed_com_co/Documents/Escritorio/CONSOLIDADOS TRABAJADOS/INFORMES PRESENTADOS/ETAPA 3 Y 4/"/>
    </mc:Choice>
  </mc:AlternateContent>
  <xr:revisionPtr revIDLastSave="0" documentId="8_{F141D1B1-8ADE-4749-9BD8-83E59728980F}" xr6:coauthVersionLast="47" xr6:coauthVersionMax="47" xr10:uidLastSave="{00000000-0000-0000-0000-000000000000}"/>
  <bookViews>
    <workbookView xWindow="-120" yWindow="-120" windowWidth="20730" windowHeight="11040" xr2:uid="{A0848986-8EF8-4032-844D-D04CB546086F}"/>
  </bookViews>
  <sheets>
    <sheet name="KALA T1" sheetId="1" r:id="rId1"/>
    <sheet name="KALA T2 " sheetId="2" r:id="rId2"/>
    <sheet name="KALIZA T1" sheetId="10" r:id="rId3"/>
    <sheet name="KALIZA T2" sheetId="11" r:id="rId4"/>
    <sheet name="KALIZA T3" sheetId="5" r:id="rId5"/>
    <sheet name="KALA T3" sheetId="12" r:id="rId6"/>
    <sheet name="KALA T4" sheetId="7" r:id="rId7"/>
    <sheet name="RESUMEN " sheetId="8" r:id="rId8"/>
    <sheet name="Hoja1" sheetId="14"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54" i="8" l="1"/>
  <c r="C52" i="8"/>
  <c r="I26" i="7"/>
  <c r="K26" i="7"/>
  <c r="E51" i="2"/>
  <c r="M8" i="2"/>
  <c r="M28" i="2"/>
  <c r="O46" i="1"/>
  <c r="K46" i="1"/>
  <c r="I46" i="1"/>
  <c r="H17" i="8"/>
  <c r="E59" i="12"/>
  <c r="H19" i="8" s="1"/>
  <c r="E55" i="12"/>
  <c r="H12" i="8" s="1"/>
  <c r="H14" i="8" s="1"/>
  <c r="E54" i="12"/>
  <c r="E53" i="12"/>
  <c r="E52" i="12"/>
  <c r="E51" i="12" s="1"/>
  <c r="F48" i="12"/>
  <c r="A48" i="12"/>
  <c r="J47" i="12"/>
  <c r="M46" i="12"/>
  <c r="I46" i="12"/>
  <c r="G46" i="12"/>
  <c r="J40" i="12"/>
  <c r="H40" i="12"/>
  <c r="M39" i="12"/>
  <c r="M48" i="12" s="1"/>
  <c r="E61" i="12" s="1"/>
  <c r="I39" i="12"/>
  <c r="I48" i="12" s="1"/>
  <c r="E67" i="12" s="1"/>
  <c r="G39" i="12"/>
  <c r="G48" i="12" s="1"/>
  <c r="A33" i="12"/>
  <c r="E64" i="12" s="1"/>
  <c r="J32" i="12"/>
  <c r="H32" i="12"/>
  <c r="J31" i="12"/>
  <c r="H31" i="12"/>
  <c r="J30" i="12"/>
  <c r="H30" i="12"/>
  <c r="J29" i="12"/>
  <c r="H29" i="12"/>
  <c r="J28" i="12"/>
  <c r="H28" i="12"/>
  <c r="M27" i="12"/>
  <c r="I27" i="12"/>
  <c r="G27" i="12"/>
  <c r="D27" i="12"/>
  <c r="J25" i="12"/>
  <c r="H25" i="12"/>
  <c r="J24" i="12"/>
  <c r="H24" i="12"/>
  <c r="J23" i="12"/>
  <c r="H23" i="12"/>
  <c r="J22" i="12"/>
  <c r="H22" i="12"/>
  <c r="M21" i="12"/>
  <c r="I21" i="12"/>
  <c r="J21" i="12" s="1"/>
  <c r="G21" i="12"/>
  <c r="D21" i="12"/>
  <c r="J20" i="12"/>
  <c r="H20" i="12"/>
  <c r="M19" i="12"/>
  <c r="I19" i="12"/>
  <c r="G19" i="12"/>
  <c r="D19" i="12"/>
  <c r="J18" i="12"/>
  <c r="H18" i="12"/>
  <c r="J17" i="12"/>
  <c r="H17" i="12"/>
  <c r="J16" i="12"/>
  <c r="H16" i="12"/>
  <c r="J15" i="12"/>
  <c r="H15" i="12"/>
  <c r="J14" i="12"/>
  <c r="H14" i="12"/>
  <c r="M13" i="12"/>
  <c r="M9" i="12" s="1"/>
  <c r="I13" i="12"/>
  <c r="I33" i="12" s="1"/>
  <c r="G13" i="12"/>
  <c r="G33" i="12" s="1"/>
  <c r="D13" i="12"/>
  <c r="M8" i="12"/>
  <c r="M7" i="12"/>
  <c r="M6" i="12"/>
  <c r="H9" i="8" l="1"/>
  <c r="E56" i="12"/>
  <c r="M33" i="12"/>
  <c r="E60" i="12" l="1"/>
  <c r="H20" i="8" s="1"/>
  <c r="H16" i="8"/>
  <c r="E57" i="12"/>
  <c r="E58" i="12" s="1"/>
  <c r="H18" i="8" s="1"/>
  <c r="E62" i="12"/>
  <c r="E63" i="12" s="1"/>
  <c r="H28" i="8" s="1"/>
  <c r="F25" i="8" l="1"/>
  <c r="F23" i="8"/>
  <c r="F22" i="8"/>
  <c r="F21" i="8"/>
  <c r="F17" i="8"/>
  <c r="F12" i="8"/>
  <c r="F14" i="8" s="1"/>
  <c r="E55" i="2"/>
  <c r="F19" i="8" s="1"/>
  <c r="E50" i="2"/>
  <c r="E49" i="2"/>
  <c r="E48" i="2"/>
  <c r="F9" i="8" s="1"/>
  <c r="F44" i="2"/>
  <c r="A44" i="2"/>
  <c r="J43" i="2"/>
  <c r="H43" i="2"/>
  <c r="M42" i="2"/>
  <c r="I42" i="2"/>
  <c r="G42" i="2"/>
  <c r="J40" i="2"/>
  <c r="H40" i="2"/>
  <c r="M39" i="2"/>
  <c r="I39" i="2"/>
  <c r="G39" i="2"/>
  <c r="H38" i="2"/>
  <c r="M37" i="2"/>
  <c r="M44" i="2" s="1"/>
  <c r="I37" i="2"/>
  <c r="G37" i="2"/>
  <c r="G44" i="2" s="1"/>
  <c r="J36" i="2"/>
  <c r="H36" i="2"/>
  <c r="J35" i="2"/>
  <c r="H35" i="2"/>
  <c r="M34" i="2"/>
  <c r="I34" i="2"/>
  <c r="I44" i="2" s="1"/>
  <c r="G34" i="2"/>
  <c r="A28" i="2"/>
  <c r="E60" i="2" s="1"/>
  <c r="J27" i="2"/>
  <c r="H27" i="2"/>
  <c r="J26" i="2"/>
  <c r="H26" i="2"/>
  <c r="J25" i="2"/>
  <c r="H25" i="2"/>
  <c r="J24" i="2"/>
  <c r="H24" i="2"/>
  <c r="M23" i="2"/>
  <c r="I23" i="2"/>
  <c r="G23" i="2"/>
  <c r="D23" i="2"/>
  <c r="J22" i="2"/>
  <c r="H22" i="2"/>
  <c r="J21" i="2"/>
  <c r="H21" i="2"/>
  <c r="M20" i="2"/>
  <c r="I20" i="2"/>
  <c r="G20" i="2"/>
  <c r="D20" i="2"/>
  <c r="J18" i="2"/>
  <c r="H18" i="2"/>
  <c r="M17" i="2"/>
  <c r="I17" i="2"/>
  <c r="G17" i="2"/>
  <c r="D17" i="2"/>
  <c r="J16" i="2"/>
  <c r="H16" i="2"/>
  <c r="J15" i="2"/>
  <c r="H15" i="2"/>
  <c r="J14" i="2"/>
  <c r="H14" i="2"/>
  <c r="M13" i="2"/>
  <c r="I13" i="2"/>
  <c r="I28" i="2" s="1"/>
  <c r="G13" i="2"/>
  <c r="G28" i="2" s="1"/>
  <c r="D13" i="2"/>
  <c r="M9" i="2"/>
  <c r="M7" i="2"/>
  <c r="M6" i="2"/>
  <c r="H10" i="8"/>
  <c r="E47" i="2" l="1"/>
  <c r="F10" i="8" s="1"/>
  <c r="E53" i="2"/>
  <c r="E52" i="2"/>
  <c r="E58" i="2"/>
  <c r="E64" i="2"/>
  <c r="E57" i="2"/>
  <c r="E56" i="2" l="1"/>
  <c r="F20" i="8" s="1"/>
  <c r="F16" i="8"/>
  <c r="E54" i="2"/>
  <c r="F18" i="8" s="1"/>
  <c r="E59" i="2"/>
  <c r="F28" i="8" s="1"/>
  <c r="D25" i="8" l="1"/>
  <c r="D23" i="8"/>
  <c r="D21" i="8"/>
  <c r="D17" i="8"/>
  <c r="F70" i="11"/>
  <c r="F61" i="11"/>
  <c r="D19" i="8" s="1"/>
  <c r="F57" i="11"/>
  <c r="D12" i="8" s="1"/>
  <c r="D14" i="8" s="1"/>
  <c r="F54" i="11"/>
  <c r="F53" i="11" s="1"/>
  <c r="D10" i="8" s="1"/>
  <c r="J50" i="11"/>
  <c r="F69" i="11" s="1"/>
  <c r="B50" i="11"/>
  <c r="K49" i="11"/>
  <c r="N48" i="11"/>
  <c r="J48" i="11"/>
  <c r="H48" i="11"/>
  <c r="K44" i="11"/>
  <c r="I44" i="11"/>
  <c r="N43" i="11"/>
  <c r="J43" i="11"/>
  <c r="H43" i="11"/>
  <c r="K42" i="11"/>
  <c r="I42" i="11"/>
  <c r="N39" i="11"/>
  <c r="N50" i="11" s="1"/>
  <c r="F63" i="11" s="1"/>
  <c r="J39" i="11"/>
  <c r="H39" i="11"/>
  <c r="H50" i="11" s="1"/>
  <c r="B33" i="11"/>
  <c r="F66" i="11" s="1"/>
  <c r="K32" i="11"/>
  <c r="I32" i="11"/>
  <c r="I27" i="11" s="1"/>
  <c r="K31" i="11"/>
  <c r="K30" i="11"/>
  <c r="I30" i="11"/>
  <c r="K29" i="11"/>
  <c r="I29" i="11"/>
  <c r="N28" i="11"/>
  <c r="N6" i="11" s="1"/>
  <c r="J28" i="11"/>
  <c r="H28" i="11"/>
  <c r="H33" i="11" s="1"/>
  <c r="E28" i="11"/>
  <c r="K27" i="11"/>
  <c r="K26" i="11"/>
  <c r="I26" i="11"/>
  <c r="K25" i="11"/>
  <c r="I25" i="11"/>
  <c r="N24" i="11"/>
  <c r="N7" i="11" s="1"/>
  <c r="J24" i="11"/>
  <c r="K24" i="11" s="1"/>
  <c r="H24" i="11"/>
  <c r="E24" i="11"/>
  <c r="K23" i="11"/>
  <c r="I23" i="11"/>
  <c r="K22" i="11"/>
  <c r="I22" i="11"/>
  <c r="K21" i="11"/>
  <c r="I21" i="11"/>
  <c r="K20" i="11"/>
  <c r="I20" i="11"/>
  <c r="N19" i="11"/>
  <c r="N8" i="11" s="1"/>
  <c r="J19" i="11"/>
  <c r="H19" i="11"/>
  <c r="E19" i="11"/>
  <c r="K18" i="11"/>
  <c r="K17" i="11"/>
  <c r="I17" i="11"/>
  <c r="K16" i="11"/>
  <c r="I16" i="11"/>
  <c r="K15" i="11"/>
  <c r="I15" i="11"/>
  <c r="K14" i="11"/>
  <c r="I14" i="11"/>
  <c r="N13" i="11"/>
  <c r="N33" i="11" s="1"/>
  <c r="J13" i="11"/>
  <c r="J33" i="11" s="1"/>
  <c r="H13" i="11"/>
  <c r="E13" i="11"/>
  <c r="N9" i="11"/>
  <c r="D9" i="8" l="1"/>
  <c r="F59" i="11"/>
  <c r="F58" i="11"/>
  <c r="D16" i="8" s="1"/>
  <c r="F64" i="11"/>
  <c r="F65" i="11" s="1"/>
  <c r="D28" i="8" s="1"/>
  <c r="F62" i="11"/>
  <c r="D20" i="8" s="1"/>
  <c r="F60" i="11" l="1"/>
  <c r="D18" i="8" s="1"/>
  <c r="H32" i="10" l="1"/>
  <c r="J32" i="10"/>
  <c r="J42" i="10" s="1"/>
  <c r="N32" i="10"/>
  <c r="N42" i="10" s="1"/>
  <c r="F55" i="10" s="1"/>
  <c r="C21" i="8" s="1"/>
  <c r="F62" i="10"/>
  <c r="C25" i="8" s="1"/>
  <c r="C9" i="8"/>
  <c r="C33" i="8" s="1"/>
  <c r="F53" i="10"/>
  <c r="C19" i="8" s="1"/>
  <c r="F49" i="10"/>
  <c r="C12" i="8" s="1"/>
  <c r="C14" i="8" s="1"/>
  <c r="F48" i="10"/>
  <c r="F47" i="10"/>
  <c r="F46" i="10"/>
  <c r="F45" i="10" s="1"/>
  <c r="C10" i="8" s="1"/>
  <c r="B42" i="10"/>
  <c r="K41" i="10"/>
  <c r="N40" i="10"/>
  <c r="J40" i="10"/>
  <c r="H40" i="10"/>
  <c r="K36" i="10"/>
  <c r="I36" i="10"/>
  <c r="N35" i="10"/>
  <c r="J35" i="10"/>
  <c r="F61" i="10" s="1"/>
  <c r="H35" i="10"/>
  <c r="H42" i="10" s="1"/>
  <c r="K34" i="10"/>
  <c r="I34" i="10"/>
  <c r="I33" i="10"/>
  <c r="B26" i="10"/>
  <c r="F58" i="10" s="1"/>
  <c r="K24" i="10"/>
  <c r="N23" i="10"/>
  <c r="N6" i="10" s="1"/>
  <c r="J23" i="10"/>
  <c r="H23" i="10"/>
  <c r="E23" i="10"/>
  <c r="K22" i="10"/>
  <c r="I22" i="10"/>
  <c r="N21" i="10"/>
  <c r="E21" i="10"/>
  <c r="K20" i="10"/>
  <c r="I20" i="10"/>
  <c r="K19" i="10"/>
  <c r="I19" i="10"/>
  <c r="N18" i="10"/>
  <c r="N8" i="10" s="1"/>
  <c r="J18" i="10"/>
  <c r="H18" i="10"/>
  <c r="E18" i="10"/>
  <c r="K17" i="10"/>
  <c r="I17" i="10"/>
  <c r="K16" i="10"/>
  <c r="I16" i="10"/>
  <c r="K15" i="10"/>
  <c r="I15" i="10"/>
  <c r="K14" i="10"/>
  <c r="I14" i="10"/>
  <c r="N13" i="10"/>
  <c r="N9" i="10" s="1"/>
  <c r="J13" i="10"/>
  <c r="H13" i="10"/>
  <c r="H26" i="10" s="1"/>
  <c r="E13" i="10"/>
  <c r="N7" i="10"/>
  <c r="G75" i="7"/>
  <c r="G70" i="7"/>
  <c r="I14" i="8"/>
  <c r="I12" i="8"/>
  <c r="G80" i="7"/>
  <c r="O9" i="7"/>
  <c r="O26" i="7"/>
  <c r="K18" i="7"/>
  <c r="I18" i="7"/>
  <c r="O18" i="7"/>
  <c r="J25" i="7"/>
  <c r="L25" i="7"/>
  <c r="L24" i="7"/>
  <c r="J24" i="7"/>
  <c r="L23" i="7"/>
  <c r="J23" i="7"/>
  <c r="L22" i="7"/>
  <c r="J22" i="7"/>
  <c r="L21" i="7"/>
  <c r="J21" i="7"/>
  <c r="L20" i="7"/>
  <c r="J20" i="7"/>
  <c r="O13" i="7"/>
  <c r="K13" i="7"/>
  <c r="I13" i="7"/>
  <c r="L16" i="7"/>
  <c r="J16" i="7"/>
  <c r="L28" i="7"/>
  <c r="J28" i="7"/>
  <c r="O57" i="5"/>
  <c r="O8" i="5"/>
  <c r="I16" i="5"/>
  <c r="K16" i="5"/>
  <c r="O16" i="5"/>
  <c r="I23" i="5"/>
  <c r="K23" i="5"/>
  <c r="O23" i="5"/>
  <c r="O38" i="5" s="1"/>
  <c r="O30" i="5"/>
  <c r="O6" i="5" s="1"/>
  <c r="O50" i="5"/>
  <c r="K50" i="5"/>
  <c r="I50" i="5"/>
  <c r="J37" i="5"/>
  <c r="L37" i="5"/>
  <c r="L36" i="5"/>
  <c r="J36" i="5"/>
  <c r="L35" i="5"/>
  <c r="J35" i="5"/>
  <c r="L34" i="5"/>
  <c r="J34" i="5"/>
  <c r="L33" i="5"/>
  <c r="J33" i="5"/>
  <c r="L32" i="5"/>
  <c r="J32" i="5"/>
  <c r="J52" i="5"/>
  <c r="L27" i="5"/>
  <c r="J27" i="5"/>
  <c r="L26" i="5"/>
  <c r="J26" i="5"/>
  <c r="L25" i="5"/>
  <c r="J25" i="5"/>
  <c r="L20" i="5"/>
  <c r="L19" i="5"/>
  <c r="J20" i="5"/>
  <c r="J19" i="5"/>
  <c r="G26" i="8"/>
  <c r="G12" i="8"/>
  <c r="G9" i="8"/>
  <c r="C51" i="8" s="1"/>
  <c r="G23" i="8"/>
  <c r="E12" i="8"/>
  <c r="E14" i="8" s="1"/>
  <c r="O20" i="1"/>
  <c r="K20" i="1"/>
  <c r="I20" i="1"/>
  <c r="O23" i="1"/>
  <c r="K23" i="1"/>
  <c r="I23" i="1"/>
  <c r="L22" i="1"/>
  <c r="J22" i="1"/>
  <c r="O36" i="1"/>
  <c r="K36" i="1"/>
  <c r="I36" i="1"/>
  <c r="L37" i="1"/>
  <c r="O13" i="1"/>
  <c r="K13" i="1"/>
  <c r="I13" i="1"/>
  <c r="L15" i="1"/>
  <c r="J15" i="1"/>
  <c r="L14" i="1"/>
  <c r="O32" i="1"/>
  <c r="K32" i="1"/>
  <c r="I32" i="1"/>
  <c r="J14" i="1"/>
  <c r="C53" i="8" l="1"/>
  <c r="G14" i="8"/>
  <c r="J26" i="10"/>
  <c r="N26" i="10"/>
  <c r="F51" i="10"/>
  <c r="C17" i="8" s="1"/>
  <c r="F56" i="10"/>
  <c r="C22" i="8" s="1"/>
  <c r="F50" i="10"/>
  <c r="C16" i="8" s="1"/>
  <c r="O9" i="1"/>
  <c r="D29" i="8"/>
  <c r="F54" i="10" l="1"/>
  <c r="F57" i="10"/>
  <c r="C28" i="8" s="1"/>
  <c r="F52" i="10"/>
  <c r="C18" i="8" s="1"/>
  <c r="H23" i="8" l="1"/>
  <c r="H22" i="8"/>
  <c r="H21" i="8"/>
  <c r="H29" i="8" l="1"/>
  <c r="E23" i="8" l="1"/>
  <c r="F27" i="8" l="1"/>
  <c r="F26" i="8"/>
  <c r="F15" i="8"/>
  <c r="F29" i="8" l="1"/>
  <c r="C26" i="8" l="1"/>
  <c r="C23" i="8"/>
  <c r="C15" i="8"/>
  <c r="C29" i="8" l="1"/>
  <c r="G69" i="7" l="1"/>
  <c r="I16" i="8" s="1"/>
  <c r="I47" i="7"/>
  <c r="I61" i="7" s="1"/>
  <c r="K47" i="7"/>
  <c r="K61" i="7" s="1"/>
  <c r="O47" i="7"/>
  <c r="O61" i="7" s="1"/>
  <c r="I36" i="7"/>
  <c r="K36" i="7"/>
  <c r="O36" i="7"/>
  <c r="O6" i="7" s="1"/>
  <c r="O7" i="7"/>
  <c r="O8" i="7"/>
  <c r="G79" i="5"/>
  <c r="G27" i="8" s="1"/>
  <c r="G25" i="8"/>
  <c r="I54" i="5"/>
  <c r="K54" i="5"/>
  <c r="O54" i="5"/>
  <c r="I30" i="5"/>
  <c r="K30" i="5"/>
  <c r="O7" i="5"/>
  <c r="G66" i="5" s="1"/>
  <c r="G65" i="5" s="1"/>
  <c r="G16" i="8" s="1"/>
  <c r="G66" i="1"/>
  <c r="E25" i="8" s="1"/>
  <c r="I40" i="1"/>
  <c r="K40" i="1"/>
  <c r="O40" i="1"/>
  <c r="C26" i="1"/>
  <c r="I17" i="1"/>
  <c r="I26" i="1" s="1"/>
  <c r="K17" i="1"/>
  <c r="K26" i="1" s="1"/>
  <c r="O6" i="1"/>
  <c r="O17" i="1"/>
  <c r="L42" i="1"/>
  <c r="J42" i="1"/>
  <c r="L41" i="1"/>
  <c r="L25" i="1"/>
  <c r="L24" i="1"/>
  <c r="J25" i="1"/>
  <c r="J24" i="1"/>
  <c r="L56" i="5"/>
  <c r="J56" i="5"/>
  <c r="L18" i="5"/>
  <c r="L21" i="5"/>
  <c r="L22" i="5"/>
  <c r="J18" i="5"/>
  <c r="J21" i="5"/>
  <c r="L31" i="5"/>
  <c r="J31" i="5"/>
  <c r="C41" i="7"/>
  <c r="L17" i="7"/>
  <c r="J17" i="7"/>
  <c r="L37" i="7"/>
  <c r="L38" i="7"/>
  <c r="L39" i="7"/>
  <c r="L40" i="7"/>
  <c r="J37" i="7"/>
  <c r="J38" i="7"/>
  <c r="J39" i="7"/>
  <c r="J40" i="7"/>
  <c r="D22" i="8"/>
  <c r="G7" i="14"/>
  <c r="G29" i="8" l="1"/>
  <c r="C56" i="8"/>
  <c r="O8" i="1"/>
  <c r="O26" i="1"/>
  <c r="O7" i="1"/>
  <c r="G54" i="1" s="1"/>
  <c r="K41" i="7"/>
  <c r="I41" i="7"/>
  <c r="O41" i="7"/>
  <c r="K38" i="5"/>
  <c r="I38" i="5"/>
  <c r="K57" i="5"/>
  <c r="I57" i="5"/>
  <c r="G55" i="1" l="1"/>
  <c r="E16" i="8"/>
  <c r="E29" i="8" s="1"/>
  <c r="G17" i="8"/>
  <c r="C57" i="8" s="1"/>
  <c r="G19" i="8"/>
  <c r="C59" i="8" s="1"/>
  <c r="C20" i="8"/>
  <c r="E9" i="8" l="1"/>
  <c r="G83" i="7"/>
  <c r="I27" i="8" s="1"/>
  <c r="I26" i="8"/>
  <c r="I23" i="8"/>
  <c r="G74" i="7"/>
  <c r="I21" i="8" s="1"/>
  <c r="I29" i="8"/>
  <c r="G65" i="7"/>
  <c r="L48" i="7"/>
  <c r="L49" i="7"/>
  <c r="L56" i="7"/>
  <c r="L29" i="7"/>
  <c r="L30" i="7"/>
  <c r="L31" i="7"/>
  <c r="L32" i="7"/>
  <c r="L33" i="7"/>
  <c r="J29" i="7"/>
  <c r="J30" i="7"/>
  <c r="J31" i="7"/>
  <c r="J32" i="7"/>
  <c r="J33" i="7"/>
  <c r="J34" i="7"/>
  <c r="F26" i="7"/>
  <c r="L14" i="7"/>
  <c r="L15" i="7"/>
  <c r="L19" i="7"/>
  <c r="L27" i="7"/>
  <c r="L34" i="7"/>
  <c r="F36" i="7"/>
  <c r="G70" i="5"/>
  <c r="G21" i="8" s="1"/>
  <c r="C61" i="8" s="1"/>
  <c r="G71" i="5"/>
  <c r="G22" i="8" s="1"/>
  <c r="C62" i="8" s="1"/>
  <c r="L29" i="5"/>
  <c r="J29" i="5"/>
  <c r="L45" i="5"/>
  <c r="L46" i="5"/>
  <c r="L48" i="5"/>
  <c r="L49" i="5"/>
  <c r="L51" i="5"/>
  <c r="L55" i="5"/>
  <c r="L14" i="5"/>
  <c r="L15" i="5"/>
  <c r="L17" i="5"/>
  <c r="L24" i="5"/>
  <c r="J21" i="1"/>
  <c r="L21" i="1"/>
  <c r="L19" i="1"/>
  <c r="L18" i="1"/>
  <c r="G49" i="1"/>
  <c r="E10" i="8" s="1"/>
  <c r="J10" i="8" s="1"/>
  <c r="C46" i="1"/>
  <c r="J45" i="1"/>
  <c r="J44" i="1"/>
  <c r="J43" i="1"/>
  <c r="J41" i="1"/>
  <c r="J40" i="1"/>
  <c r="J39" i="1"/>
  <c r="J38" i="1"/>
  <c r="J37" i="1"/>
  <c r="J35" i="1"/>
  <c r="J34" i="1"/>
  <c r="J33" i="1"/>
  <c r="F23" i="1"/>
  <c r="F20" i="1"/>
  <c r="J19" i="1"/>
  <c r="J18" i="1"/>
  <c r="F17" i="1"/>
  <c r="F13" i="1"/>
  <c r="H57" i="5"/>
  <c r="C57" i="5"/>
  <c r="J55" i="5"/>
  <c r="J51" i="5"/>
  <c r="J49" i="5"/>
  <c r="J48" i="5"/>
  <c r="J46" i="5"/>
  <c r="J45" i="5"/>
  <c r="C38" i="5"/>
  <c r="F30" i="5"/>
  <c r="J24" i="5"/>
  <c r="J23" i="5"/>
  <c r="F23" i="5"/>
  <c r="J22" i="5"/>
  <c r="J17" i="5"/>
  <c r="F16" i="5"/>
  <c r="J15" i="5"/>
  <c r="J14" i="5"/>
  <c r="F13" i="5"/>
  <c r="H61" i="7"/>
  <c r="J56" i="7"/>
  <c r="J49" i="7"/>
  <c r="J48" i="7"/>
  <c r="F18" i="7"/>
  <c r="F13" i="7"/>
  <c r="C36" i="8"/>
  <c r="C35" i="8"/>
  <c r="C34" i="8"/>
  <c r="H27" i="8"/>
  <c r="E27" i="8"/>
  <c r="D27" i="8"/>
  <c r="C27" i="8"/>
  <c r="H26" i="8"/>
  <c r="E26" i="8"/>
  <c r="D26" i="8"/>
  <c r="I25" i="8"/>
  <c r="H25" i="8"/>
  <c r="J24" i="8"/>
  <c r="J13" i="8"/>
  <c r="J12" i="8"/>
  <c r="J11" i="8"/>
  <c r="J27" i="7"/>
  <c r="J19" i="7"/>
  <c r="J15" i="7"/>
  <c r="J14" i="7"/>
  <c r="G73" i="5" l="1"/>
  <c r="G64" i="7"/>
  <c r="I10" i="8" s="1"/>
  <c r="I9" i="8"/>
  <c r="C37" i="8"/>
  <c r="J23" i="8"/>
  <c r="J25" i="8"/>
  <c r="J26" i="8"/>
  <c r="J27" i="8"/>
  <c r="J14" i="8"/>
  <c r="C55" i="8"/>
  <c r="G60" i="1" l="1"/>
  <c r="E22" i="8" s="1"/>
  <c r="I17" i="8"/>
  <c r="I19" i="8"/>
  <c r="G71" i="7"/>
  <c r="I18" i="8" s="1"/>
  <c r="I22" i="8"/>
  <c r="G76" i="7"/>
  <c r="I28" i="8" s="1"/>
  <c r="G60" i="5"/>
  <c r="G10" i="8" l="1"/>
  <c r="E19" i="8"/>
  <c r="C41" i="8" s="1"/>
  <c r="E17" i="8"/>
  <c r="G56" i="1"/>
  <c r="E18" i="8" s="1"/>
  <c r="G73" i="7"/>
  <c r="I20" i="8" s="1"/>
  <c r="J9" i="8"/>
  <c r="G58" i="1" l="1"/>
  <c r="E20" i="8" s="1"/>
  <c r="C39" i="8"/>
  <c r="J17" i="8"/>
  <c r="C38" i="8"/>
  <c r="J22" i="8"/>
  <c r="G61" i="1"/>
  <c r="E28" i="8" s="1"/>
  <c r="C46" i="8" l="1"/>
  <c r="C42" i="8"/>
  <c r="C40" i="8"/>
  <c r="J19" i="8"/>
  <c r="J16" i="8" l="1"/>
  <c r="G69" i="5"/>
  <c r="G20" i="8" s="1"/>
  <c r="G67" i="5"/>
  <c r="G18" i="8" s="1"/>
  <c r="G72" i="5"/>
  <c r="G28" i="8" s="1"/>
  <c r="J20" i="8" l="1"/>
  <c r="J28" i="8"/>
  <c r="J29" i="8"/>
  <c r="J18" i="8"/>
  <c r="C60" i="8"/>
  <c r="C58" i="8"/>
  <c r="C63" i="8"/>
  <c r="C64" i="8"/>
  <c r="K12" i="8" l="1"/>
  <c r="L12" i="8" s="1"/>
  <c r="G59" i="1" l="1"/>
  <c r="E21" i="8"/>
  <c r="C43" i="8" s="1"/>
  <c r="C44" i="8" s="1"/>
  <c r="C45" i="8" s="1"/>
  <c r="J21" i="8"/>
  <c r="L6" i="14" l="1"/>
  <c r="O51" i="7"/>
  <c r="O51" i="7" a="1"/>
  <c r="K7" i="14"/>
  <c r="K6" i="14"/>
  <c r="N45" i="11"/>
  <c r="N45" i="11" a="1"/>
  <c r="M43" i="12"/>
  <c r="M43" i="12" a="1"/>
  <c r="N37" i="10"/>
  <c r="N37" i="10" a="1"/>
  <c r="O47" i="5"/>
  <c r="O47" i="5" a="1"/>
  <c r="O58" i="7"/>
  <c r="O58" i="7" a="1"/>
  <c r="J6" i="1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<sst xmlns="http://schemas.openxmlformats.org/spreadsheetml/2006/main" count="1042" uniqueCount="495">
  <si>
    <t>UNIDADES VINCULADAS A FIDUCIARIA BANCOLOMBIA</t>
  </si>
  <si>
    <t>VENTAS Y RECURSOS POR FIDEICOMISO</t>
  </si>
  <si>
    <t>CARTERA EN GESTIÓN</t>
  </si>
  <si>
    <t>INVENTARIO</t>
  </si>
  <si>
    <t>INMUEBLE</t>
  </si>
  <si>
    <t>NOMENCLATURA</t>
  </si>
  <si>
    <t>AREA</t>
  </si>
  <si>
    <t>REFERENCIA</t>
  </si>
  <si>
    <t>PROPIETARIOS</t>
  </si>
  <si>
    <t>FECHA CONTRATO</t>
  </si>
  <si>
    <t>VALOR VENTA</t>
  </si>
  <si>
    <t>VALOR M2</t>
  </si>
  <si>
    <t>VALOR ABONADO</t>
  </si>
  <si>
    <t>% RECAUDO</t>
  </si>
  <si>
    <t>CUOTAS MORA</t>
  </si>
  <si>
    <t>DIAS MORA</t>
  </si>
  <si>
    <t>VALOR VENCIDO</t>
  </si>
  <si>
    <t>OBSERVACIONES</t>
  </si>
  <si>
    <t>FECHA DE ENTREGA</t>
  </si>
  <si>
    <t>TOTALES</t>
  </si>
  <si>
    <t>Total apartamentos torre</t>
  </si>
  <si>
    <t>Apartamentos en inventario</t>
  </si>
  <si>
    <t>Numero de Clientes Vinculados</t>
  </si>
  <si>
    <t>RECAUDO (REAL+CARTERA)</t>
  </si>
  <si>
    <t>Cartera &gt; 5 dias</t>
  </si>
  <si>
    <t>% Cartera &gt; 5 dias</t>
  </si>
  <si>
    <t>Cartera &lt; 5 dias</t>
  </si>
  <si>
    <t>% Cartera &lt; 5 dias</t>
  </si>
  <si>
    <t>Cartera en tramite</t>
  </si>
  <si>
    <t>Cartera - Cartera Tramite</t>
  </si>
  <si>
    <t>% Cartera</t>
  </si>
  <si>
    <t>Desistimientos</t>
  </si>
  <si>
    <t xml:space="preserve">Otrosi </t>
  </si>
  <si>
    <t xml:space="preserve">Monetizacion </t>
  </si>
  <si>
    <t xml:space="preserve">Partidas por conciliar </t>
  </si>
  <si>
    <t xml:space="preserve">Recaudo </t>
  </si>
  <si>
    <t xml:space="preserve"># de Clientes en este informe </t>
  </si>
  <si>
    <t>KALA TORRE 4</t>
  </si>
  <si>
    <t xml:space="preserve">CARTERA EN TRAMITE </t>
  </si>
  <si>
    <t xml:space="preserve">RESUMEN CARTERA FIDUCIARIA BANCOLOMBIA </t>
  </si>
  <si>
    <t>Etapa 3</t>
  </si>
  <si>
    <t>Etapa 4</t>
  </si>
  <si>
    <t>KALIZA TORRE 1</t>
  </si>
  <si>
    <t>KALIZA TORRE 2</t>
  </si>
  <si>
    <t>KALIZA TORRE 3</t>
  </si>
  <si>
    <t>KALA 1</t>
  </si>
  <si>
    <t>KALA 2</t>
  </si>
  <si>
    <t>KALA 3</t>
  </si>
  <si>
    <t>KALA 4</t>
  </si>
  <si>
    <t>TOTAL</t>
  </si>
  <si>
    <t>Sin conciliar</t>
  </si>
  <si>
    <t>Total + Sin Conciliar</t>
  </si>
  <si>
    <t>Inventario</t>
  </si>
  <si>
    <t xml:space="preserve">Valor Venta Clientes Vinculados </t>
  </si>
  <si>
    <t xml:space="preserve">RECAUDO </t>
  </si>
  <si>
    <t xml:space="preserve">SALDO POR RECAUDAR CUOTA INICIAL </t>
  </si>
  <si>
    <t>Esto se encuentra en partidas sin conciliar de la etapa 3, pendiente por vincular 2 Clientes</t>
  </si>
  <si>
    <t>Porcentaje de recaudo sobre ventas totales</t>
  </si>
  <si>
    <t>Porcentaje de recaudo sobre la cuota inicial</t>
  </si>
  <si>
    <t>RECAUDO (REAL+CARTERA VENCIDA)</t>
  </si>
  <si>
    <t># clientes desistimiento</t>
  </si>
  <si>
    <t>ETAPA 3</t>
  </si>
  <si>
    <t>ETAPA 4</t>
  </si>
  <si>
    <t xml:space="preserve">Cartera de 6 a 30 dias </t>
  </si>
  <si>
    <t xml:space="preserve">Catera de 31 a 60dias </t>
  </si>
  <si>
    <t xml:space="preserve">Cartera de 61 a 90 dias </t>
  </si>
  <si>
    <t xml:space="preserve">Cartera Mayor de 90 dias </t>
  </si>
  <si>
    <t>6-J</t>
  </si>
  <si>
    <t>Kala Golf</t>
  </si>
  <si>
    <t>2-O</t>
  </si>
  <si>
    <t>5-C</t>
  </si>
  <si>
    <t>2-C</t>
  </si>
  <si>
    <t>6-F</t>
  </si>
  <si>
    <t>Recaudo Mayo</t>
  </si>
  <si>
    <t xml:space="preserve">Recaudo Total a la fecha </t>
  </si>
  <si>
    <t># de Clientes a este informe</t>
  </si>
  <si>
    <t>KALA TORRE 1</t>
  </si>
  <si>
    <t>KALIZA 3</t>
  </si>
  <si>
    <t>43513</t>
  </si>
  <si>
    <t>1423634351311</t>
  </si>
  <si>
    <t>43110</t>
  </si>
  <si>
    <t>1423634311014</t>
  </si>
  <si>
    <t>43102</t>
  </si>
  <si>
    <t>1423634310214</t>
  </si>
  <si>
    <t>43208</t>
  </si>
  <si>
    <t>1423614320805</t>
  </si>
  <si>
    <t>_x000D_901260287 GRUPO UNION INMOBILIARIA SAS    (100.00%)</t>
  </si>
  <si>
    <t>_x000D_35507912 NELLY CECILIA ALBANCANDO CUSHCAGUA (100.00%)</t>
  </si>
  <si>
    <t>_x000D_43616216 BIBIANA  VALENCIA GOMEZ (100.00%)</t>
  </si>
  <si>
    <t>43512</t>
  </si>
  <si>
    <t>1423634351210</t>
  </si>
  <si>
    <t>43305</t>
  </si>
  <si>
    <t>1423634330519</t>
  </si>
  <si>
    <t>_x000D_21016297 LUZ HELENA HERNANDEZ GARCIA (100.00%)</t>
  </si>
  <si>
    <t>_x000D_1125790279 JONATHAN  ORTIZ HERRERA (50.00%)
_x000D_5596723383 TATIANA  GIRALDO  (50.00%)</t>
  </si>
  <si>
    <t>Cartera Mayor de 90 dias (0)</t>
  </si>
  <si>
    <t>1429645360607</t>
  </si>
  <si>
    <t xml:space="preserve">Cartera de 31 a 60dias </t>
  </si>
  <si>
    <t>1429645330109</t>
  </si>
  <si>
    <t>1429645340504</t>
  </si>
  <si>
    <t>1429645341607</t>
  </si>
  <si>
    <t>1429645320920</t>
  </si>
  <si>
    <t>1429645341203</t>
  </si>
  <si>
    <t>1429645350101</t>
  </si>
  <si>
    <t>1429645330604</t>
  </si>
  <si>
    <t>_x000D_1125778908 PETER JOSEPH GUADAGNINO BITAR (50.00%)
_x000D_52145246 ILEANA JOSEFINA MONTES BITAR (50.00%)</t>
  </si>
  <si>
    <t>_x000D_66977878 SANDRA DURLEY MURILLO CAMPO (100.00%)</t>
  </si>
  <si>
    <t>_x000D_900614957 I VOLUCION PROYECTOS PARA EL DESARROLLO SAS    (100.00%)</t>
  </si>
  <si>
    <t>_x000D_1061689685 JAVIER HERNAN CABRERA HERRERA (100.00%)</t>
  </si>
  <si>
    <t>_x000D_25213512 LUZ ALICIA ABELLO HINCAPIE (100.00%)</t>
  </si>
  <si>
    <t>_x000D_73212741 DANIEL ANTONIO MUVDI LOPEZ (100.00%)</t>
  </si>
  <si>
    <t>_x000D_43598985 MARLA YARLEY RAMIREZ TOBON (100.00%)</t>
  </si>
  <si>
    <t>1429645361003</t>
  </si>
  <si>
    <t>1429645330907</t>
  </si>
  <si>
    <t>_x000D_1022966672 YILVER ESNAYDER AVILA GALINDO (50.00%)
_x000D_52298479 YANETH VIVIANA LOPEZ BOCANEGRA (50.00%)</t>
  </si>
  <si>
    <t>_x000D_19265399 JAIME ANTONIO AMAYA PARDO (100.00%)</t>
  </si>
  <si>
    <t>1429645340326</t>
  </si>
  <si>
    <t>_x000D_5006642413 JOSEPH  FILI  (100.00%)</t>
  </si>
  <si>
    <t>1429645331416</t>
  </si>
  <si>
    <t>_x000D_1144035807 GUILLERMO ALEJANDRO RODRIGUEZ HOLGUIN (50.00%)
_x000D_1144058134 EDUARDO  MARIN TORO (50.00%)</t>
  </si>
  <si>
    <t>1429645351216</t>
  </si>
  <si>
    <t>_x000D_79483596 JOSE WILLIAM HORTA VANEGAS (100.00%)</t>
  </si>
  <si>
    <t>1429645330503</t>
  </si>
  <si>
    <t>1429645310917</t>
  </si>
  <si>
    <t>_x000D_5118868888 WILLER OMAR GALVAN MEJIA (100.00%)</t>
  </si>
  <si>
    <t>_x000D_79404230 JUSTO ENRIQUE MORALES VANEGAS (100.00%)</t>
  </si>
  <si>
    <t>Recaudo Realizado (Mayo)</t>
  </si>
  <si>
    <t>4-H</t>
  </si>
  <si>
    <t>Mauricio Andrés Gaitán Cotes</t>
  </si>
  <si>
    <t>5-N</t>
  </si>
  <si>
    <t>Giovanni Rodriguez Beltran</t>
  </si>
  <si>
    <t>2-I</t>
  </si>
  <si>
    <t>Magola Isabel Yepes Yepes</t>
  </si>
  <si>
    <t>5-I</t>
  </si>
  <si>
    <t>2-A</t>
  </si>
  <si>
    <t>Narlis Blanco Hinestrosa</t>
  </si>
  <si>
    <t>4-O</t>
  </si>
  <si>
    <t>4-J</t>
  </si>
  <si>
    <t>Ricardo Rivera</t>
  </si>
  <si>
    <t>4-G</t>
  </si>
  <si>
    <t>6-H</t>
  </si>
  <si>
    <t>3-F</t>
  </si>
  <si>
    <t>MAURO Andres Farfan sarmiento</t>
  </si>
  <si>
    <t>cliente tiene pendiente traslado de recursos del inmueble en TP1 525 se encuentra en proceso de autorizacion de GF</t>
  </si>
  <si>
    <t>Cartera Mayor de 90 dias (3)</t>
  </si>
  <si>
    <t>3-D</t>
  </si>
  <si>
    <t>4-L</t>
  </si>
  <si>
    <t>5-E</t>
  </si>
  <si>
    <t>4-Ñ</t>
  </si>
  <si>
    <t>3-B</t>
  </si>
  <si>
    <t>3-K</t>
  </si>
  <si>
    <t>3-E</t>
  </si>
  <si>
    <t>1-Ñ</t>
  </si>
  <si>
    <t>4-K</t>
  </si>
  <si>
    <t>2-N</t>
  </si>
  <si>
    <t xml:space="preserve">Se envia recordatorio de pago </t>
  </si>
  <si>
    <t>5-J</t>
  </si>
  <si>
    <t>3-Ñ</t>
  </si>
  <si>
    <t>4-M</t>
  </si>
  <si>
    <t>4-D</t>
  </si>
  <si>
    <t>5-K</t>
  </si>
  <si>
    <t>1-I</t>
  </si>
  <si>
    <t>2-Ñ</t>
  </si>
  <si>
    <t>2-D</t>
  </si>
  <si>
    <t>1-M</t>
  </si>
  <si>
    <t>1-B</t>
  </si>
  <si>
    <t>5-A</t>
  </si>
  <si>
    <t xml:space="preserve">Se nevio notificacion de desistimiento 11 mayo. Cliente realizo la primera cuota el 8 de abril valor de $5.935.000, informa pago el dia 30 de abril los 17 mm Realizar el pago mensual ordinario de $5,935,000 COP antes del 31 de marzo de 2026 y continuar cumpliendo con las mensualidades en las fechas establecidas.
Cancelar el saldo pendiente en tres (3) pagos iguales de $17,051,667 COP cada uno, los días 15 de cada mes, así:
15 de abril de 2026
15 de mayo de 2026
15 de junio de 2026                                                                                                                                                                                                                                                                                                                                                                                                                                                                                                                                                                                                                                                                                                                                                                                                                                                                                                                                                                                                                                                     Se  envio correo al cliente indicando lo establecido en el comite del 29 de oct y el cliente acepto las condiciones, donde se le dio plazo de 3 meses hasta enero para que nuevamnete inciaria sus pagos y firma de otro si para ajustar el plan de pagos, en el caso de no cumplir se haria desistimiento con la penalidad del 10%  (Se le envio correo al cliente recordando que a final de mes de enero se cumple finalizacion de la prorroga, en espera de respuesta del cliente)    Cliente informa que no continuara en el proyecto y acepta penalidad 10% esta en proceso                                                   </t>
  </si>
  <si>
    <t>5-L</t>
  </si>
  <si>
    <t>5-M</t>
  </si>
  <si>
    <t>1-J</t>
  </si>
  <si>
    <t>2-H</t>
  </si>
  <si>
    <t>1-A</t>
  </si>
  <si>
    <t>21/02/2028 </t>
  </si>
  <si>
    <t>21/03/2028 </t>
  </si>
  <si>
    <t>4-C</t>
  </si>
  <si>
    <t>3-I</t>
  </si>
  <si>
    <t>1-H</t>
  </si>
  <si>
    <t>53314</t>
  </si>
  <si>
    <t>53306</t>
  </si>
  <si>
    <t>53512</t>
  </si>
  <si>
    <t>53209</t>
  </si>
  <si>
    <t>53412</t>
  </si>
  <si>
    <t>53501</t>
  </si>
  <si>
    <t>53606</t>
  </si>
  <si>
    <t>53610</t>
  </si>
  <si>
    <t>53108</t>
  </si>
  <si>
    <t>1429645310804</t>
  </si>
  <si>
    <t>53416</t>
  </si>
  <si>
    <t>53514</t>
  </si>
  <si>
    <t>1429645351432</t>
  </si>
  <si>
    <t>_x000D_5003154818 LUIS  BUITRAGO  (50.00%)
_x000D_5004141420 WILDA  TRINIDAD DIAZ (50.00%)</t>
  </si>
  <si>
    <t>_x000D_26421728 MARIA ANGELICA VANEGAS MOTTA (100.00%)</t>
  </si>
  <si>
    <t>53309</t>
  </si>
  <si>
    <t>53301</t>
  </si>
  <si>
    <t>53405</t>
  </si>
  <si>
    <t>53403</t>
  </si>
  <si>
    <t>53305</t>
  </si>
  <si>
    <t>53109</t>
  </si>
  <si>
    <t xml:space="preserve">   </t>
  </si>
  <si>
    <t>Compromiso de pago 30 de Junio con la prima.</t>
  </si>
  <si>
    <t>43412</t>
  </si>
  <si>
    <t>1423634341219</t>
  </si>
  <si>
    <t>_x000D_80087885 MILTON  MOLINA JIMENEZ (100.00%)</t>
  </si>
  <si>
    <t>43214</t>
  </si>
  <si>
    <t>1423634321419</t>
  </si>
  <si>
    <t>_x000D_32649418 CARMEN ALICIA GARCIA LOZANO (50.00%)
_x000D_8735880 JAIME ORLANDO MONTOYA CANO (50.00%)</t>
  </si>
  <si>
    <t>Ajuste oportunidad y elaboracion promesa de compraventa.</t>
  </si>
  <si>
    <t>51101</t>
  </si>
  <si>
    <t>1429615110107</t>
  </si>
  <si>
    <t>51406</t>
  </si>
  <si>
    <t>1429615140605</t>
  </si>
  <si>
    <t xml:space="preserve">
5003788569 JULIA  SKYE OLIVARES (50.00%)
79777577 ROBERTO CARLOS OLIVARES VILLA (50.00%)</t>
  </si>
  <si>
    <t>_x000D_33480960 YELISA  PALACIOS MARTINEZ (100.00%)</t>
  </si>
  <si>
    <t>51203</t>
  </si>
  <si>
    <t>1429615120300</t>
  </si>
  <si>
    <t>51610</t>
  </si>
  <si>
    <t>1429615161003</t>
  </si>
  <si>
    <t>_x000D_42151688 SILVANA  DELGADO HOYOS (50.00%)
_x000D_324809 LUIS ALEXANDRE MARTINS BRANCO (50.00%)</t>
  </si>
  <si>
    <t>_x000D_37723649 SANDRA ISABEL AYALA BLANCO (50.00%)
_x000D_91490723 SERGIO FERNANDO RIOS  (50.00%)</t>
  </si>
  <si>
    <t>51503</t>
  </si>
  <si>
    <t>1603715150304</t>
  </si>
  <si>
    <t>51606</t>
  </si>
  <si>
    <t>1429615160607</t>
  </si>
  <si>
    <t>_x000D_1013601581 LAURA MARITZA RIOS BONILLA (25.00%)
_x000D_51718689 ANA TULIA RIOS ROMERO (50.00%)
_x000D_80229929 ARMANDO SILVA ROJAS  (25.00%)</t>
  </si>
  <si>
    <t>_x000D_901380801 GRUPO LA CHIVA SAS    (100.00%)</t>
  </si>
  <si>
    <t>51216</t>
  </si>
  <si>
    <t>1429615121617</t>
  </si>
  <si>
    <t>Cliente pdte por contactar por el area de experiencia al cliente.</t>
  </si>
  <si>
    <t>4-F</t>
  </si>
  <si>
    <t>Recaudo Mes de Mayo</t>
  </si>
  <si>
    <t>Cartera de 31 a 60 dias (2)</t>
  </si>
  <si>
    <t xml:space="preserve">Cartera de 31 a 60 dias </t>
  </si>
  <si>
    <t>Recaudo mes de Mayo</t>
  </si>
  <si>
    <t>3-N</t>
  </si>
  <si>
    <t>20/03/2028 </t>
  </si>
  <si>
    <t>2-M</t>
  </si>
  <si>
    <t>25/12/2027 </t>
  </si>
  <si>
    <t>Cartera de 6 a 30 dias (5)</t>
  </si>
  <si>
    <t>6-E</t>
  </si>
  <si>
    <t xml:space="preserve">Cartera de 31 a 60 dias (8) </t>
  </si>
  <si>
    <t>Cartera de 61 a 90 dias (4)</t>
  </si>
  <si>
    <t>KALIZA 1</t>
  </si>
  <si>
    <t xml:space="preserve">total CI 8 </t>
  </si>
  <si>
    <t>1603714150505</t>
  </si>
  <si>
    <t xml:space="preserve">
 LUIS ANDRES GOMEZ HERNANDEZ </t>
  </si>
  <si>
    <t>1423614141209</t>
  </si>
  <si>
    <t xml:space="preserve">
 FABIAN DARIO MEJIA FLOREZ</t>
  </si>
  <si>
    <t>1423614140702</t>
  </si>
  <si>
    <t xml:space="preserve">
 JHON FREDY SALCEDO HENAO </t>
  </si>
  <si>
    <t xml:space="preserve">se le envio recordatorio 15 de mayo la respuesta es que se encuentra en tramite de leasing y le informe que el credito es un valor aparte de la CI </t>
  </si>
  <si>
    <t>1423614141502</t>
  </si>
  <si>
    <t xml:space="preserve">
 KELLY FERNANDA DIAZ GUTIERREZ </t>
  </si>
  <si>
    <t>Se  continua gestion de cartera cliente con saldo total de $1.431.582 CI</t>
  </si>
  <si>
    <t>1423614160805</t>
  </si>
  <si>
    <t xml:space="preserve">
 CLAUDIA MARIA COLMENARES </t>
  </si>
  <si>
    <t>el abono que realizo fue de 2300</t>
  </si>
  <si>
    <t>1423614130206</t>
  </si>
  <si>
    <t xml:space="preserve">
 LUIS FERNANDO QUINTERO ZULUAGA 
PATRICIA  ROJAS  </t>
  </si>
  <si>
    <t>1423614160514</t>
  </si>
  <si>
    <t xml:space="preserve">
 DANIEL FELIPE UMAÑA DIAZ</t>
  </si>
  <si>
    <t>Se envia recordatorio de pago de saldo cuota de junio pendiente una cuota de CI</t>
  </si>
  <si>
    <t>1423614131107</t>
  </si>
  <si>
    <t xml:space="preserve">
 INGRID MARIA ANAYA LAURENS 
 RAYMOND ERIC TRUFANT </t>
  </si>
  <si>
    <t>Cliente solicito a experiencia otro si con ajuste del saldo de la CI $ 2.729.000 (5) cuotas  y ajuste de fecha de entrega en dic el valor adeudado lo pagara el 15 de junio</t>
  </si>
  <si>
    <t># de Clientes informe junio 3</t>
  </si>
  <si>
    <t>KALA GOLF 2</t>
  </si>
  <si>
    <t>Leidy Dayana Fernández Daza</t>
  </si>
  <si>
    <t>Darío Yoany Mesa Ruiz</t>
  </si>
  <si>
    <t>Ricardo Rodriguez Gonzalez</t>
  </si>
  <si>
    <t>KALA GOLF 3</t>
  </si>
  <si>
    <t xml:space="preserve">
 DORIS JANNETH PATIÑO MADROÑERO 
MARIO ALEXANDER RAMOS RAMOS </t>
  </si>
  <si>
    <t>1429635451103</t>
  </si>
  <si>
    <t xml:space="preserve">
 LEONARDO  TABARES OSORIO </t>
  </si>
  <si>
    <t>1429635410905</t>
  </si>
  <si>
    <t xml:space="preserve">
 MARIA MONICA BUENDIA ULLOA 
 VICTORIA ANDREA OCAMPO GRAJALES</t>
  </si>
  <si>
    <t>1429635421504</t>
  </si>
  <si>
    <t xml:space="preserve">
 IVAN DARIO VALBUENA ARANGO </t>
  </si>
  <si>
    <t>1429635450505</t>
  </si>
  <si>
    <t>2-B</t>
  </si>
  <si>
    <t>1429635420211</t>
  </si>
  <si>
    <t xml:space="preserve">
 ADA RUTH MARGARI ARIZA AGUILAR 
 JAIME EDUARDO PEÑA MEDINA</t>
  </si>
  <si>
    <t>1429635431101</t>
  </si>
  <si>
    <t xml:space="preserve">
 ANDREA YADIRA GRANADOS MARTINEZ </t>
  </si>
  <si>
    <t>1429635410222</t>
  </si>
  <si>
    <t xml:space="preserve">
 JENNIFER LIZETH NAVARRO JARAMILLO</t>
  </si>
  <si>
    <t>1429635420401</t>
  </si>
  <si>
    <t>5-F</t>
  </si>
  <si>
    <t>1429635450618</t>
  </si>
  <si>
    <t xml:space="preserve">
 LEONARDO  MONTAÑEZ MELGAREJO</t>
  </si>
  <si>
    <t>1429635411301</t>
  </si>
  <si>
    <t xml:space="preserve">
 MONICA  VANEGAS SOTO </t>
  </si>
  <si>
    <t>1429635451305</t>
  </si>
  <si>
    <t xml:space="preserve">
 DIANA CAROLINA BELLON  </t>
  </si>
  <si>
    <t>1429635450101</t>
  </si>
  <si>
    <t xml:space="preserve">
 JORGE MAURICIO MELO YEPES</t>
  </si>
  <si>
    <t>KALIZA 2</t>
  </si>
  <si>
    <t>1423624211503</t>
  </si>
  <si>
    <t>1423624221403</t>
  </si>
  <si>
    <t xml:space="preserve">
 MONICA MARIA ROJAS ESCOBAR 
 ISABEL CRISTINA MONTOYA SALAZAR 
 MARYORI ALEJANDRA PEREZ BURBANO</t>
  </si>
  <si>
    <t>1423624241114</t>
  </si>
  <si>
    <t xml:space="preserve">
RAFAEL  NUÑEZ LANDINEZ 
 YAMILE ALBINA FUENTES CARRANZA</t>
  </si>
  <si>
    <t>1423624250909</t>
  </si>
  <si>
    <t xml:space="preserve">
SANTIAGO  BALAGUERA GARZON</t>
  </si>
  <si>
    <t>1423624230414</t>
  </si>
  <si>
    <t xml:space="preserve">
CARLOS RODRIGUEZ</t>
  </si>
  <si>
    <t>1423624251002</t>
  </si>
  <si>
    <t xml:space="preserve">
 INGRID JANNETH PEDRAZA PARDO </t>
  </si>
  <si>
    <t>1423624230503</t>
  </si>
  <si>
    <t>1423624240807</t>
  </si>
  <si>
    <t>1423624241304</t>
  </si>
  <si>
    <t>1423624240403</t>
  </si>
  <si>
    <t>1423624260811</t>
  </si>
  <si>
    <t>1423624220413</t>
  </si>
  <si>
    <t xml:space="preserve">Se envia recordatorio </t>
  </si>
  <si>
    <t>1423624231505</t>
  </si>
  <si>
    <t xml:space="preserve">
40049109 MERY JOHANNA GONZALEZ ALBA (50.00%)
71713240 PEDRO YESID LIZARAZO MARTINEZ (50.00%)</t>
  </si>
  <si>
    <t xml:space="preserve"> </t>
  </si>
  <si>
    <t>Se envia recordatorio de pago el valor pendiente corresponde a dos de las 3 ultimas cuotas de CI</t>
  </si>
  <si>
    <t>PENALIDAD 50% DE LO PAGADO</t>
  </si>
  <si>
    <t xml:space="preserve">Recaudo Mes de Junio </t>
  </si>
  <si>
    <t xml:space="preserve"># de Clientes Mayo 28 </t>
  </si>
  <si>
    <t>% Cartera Informe Anterior 28 de Mayo</t>
  </si>
  <si>
    <t xml:space="preserve">GENERADO 22/06/2026  </t>
  </si>
  <si>
    <t xml:space="preserve">Cliente informa pregunta sobre las fechas de entrega, por lo tento informa que no efectuara mas pagos, teniendo en cuenta que solo falta poco para cubrir el 30% de la CI.// EN ESPERA CONTACTO DE BRESCIA//, CLIENTE EN EXPERIENCIA PARA PACTAR FECHA DE ENTREGA </t>
  </si>
  <si>
    <t>Cliente no responde las llamadas, se envio recordatorio de pago // CONTINUAR GESTION , se envia trecordatorio de pago junio 19 de 2026</t>
  </si>
  <si>
    <t xml:space="preserve">Compromiso de pago 02 de Junio 2026., NO CUMPLIO ; se continua la gestion </t>
  </si>
  <si>
    <t xml:space="preserve">Cliente no responde las llamadas, se continua gestion, se envio recordatorio con la informacion completa de su estado de cuenta , se solicita constestar nuetsros mensajes o contactarnos </t>
  </si>
  <si>
    <t xml:space="preserve">Cliente en el area de expriencia para su ajuste de fecha de entrega y ajuste de oportunidad en CRM </t>
  </si>
  <si>
    <t>Cartera de 6 a 30 dias (1)</t>
  </si>
  <si>
    <t>Cartera de 61 a 90 dias (1)</t>
  </si>
  <si>
    <t xml:space="preserve">Valor recaudado a la fecha </t>
  </si>
  <si>
    <t xml:space="preserve">Porcentaje de Reacudo sobre la venta </t>
  </si>
  <si>
    <t># de Clientes informe Mayo 28 de 2026</t>
  </si>
  <si>
    <t xml:space="preserve">% Cartera Informe 28de Mayo </t>
  </si>
  <si>
    <t>Recaudo mes de junio</t>
  </si>
  <si>
    <t>% de Cartera  &gt; 5 dias</t>
  </si>
  <si>
    <t xml:space="preserve">Cliente informa que esta efectuando pagos todos los 10 de cada mes, pero no por la totalidad, que en cuento pueda se coloca al dia, Realizara pago junio 10 </t>
  </si>
  <si>
    <t xml:space="preserve">Cliente no responde las llamadas, se envio recordatorio de pago, se continua gestion de cobro por todos los canales </t>
  </si>
  <si>
    <t xml:space="preserve">
901426704 UMBRELLA ORGANIZATION SAS </t>
  </si>
  <si>
    <t xml:space="preserve">Compromiso de pago 02 de Junio 2026, INCUMPLIO COMPROMISO </t>
  </si>
  <si>
    <t>_x000D_1152186522 ESTEBAN  HIGUITA PEREZ (100.00%)</t>
  </si>
  <si>
    <t>1423634350511</t>
  </si>
  <si>
    <t>43505</t>
  </si>
  <si>
    <t xml:space="preserve">Compromiso de pago primera semana de Julio </t>
  </si>
  <si>
    <t xml:space="preserve">Realizo abono de $1MM , se continua la gestion de cartera </t>
  </si>
  <si>
    <t xml:space="preserve">Realizo abono de 2.1MM , se continua con la gestion de cartera </t>
  </si>
  <si>
    <t xml:space="preserve">
1220465381 YURLEY DANIELA BERDUGO TREJO </t>
  </si>
  <si>
    <t>1423634350915</t>
  </si>
  <si>
    <t>43509</t>
  </si>
  <si>
    <t>Realiza pago de una cuota Junio 30 de 2026</t>
  </si>
  <si>
    <t xml:space="preserve">
52515537 MYRIAM PATRICIA COTAMO VESGA
79626629 JUAN CARLOS MAYORGA MEDINA (</t>
  </si>
  <si>
    <t>1423634361211</t>
  </si>
  <si>
    <t>43612</t>
  </si>
  <si>
    <t xml:space="preserve">Realizara pago de una cuota Julio 4 y la,otra Julio 30 </t>
  </si>
  <si>
    <t>Realiza pago Julio 5 de 2026</t>
  </si>
  <si>
    <t xml:space="preserve">
16629281 CARLOS HUMBERTO NAVIA ESTRADA </t>
  </si>
  <si>
    <t>43409</t>
  </si>
  <si>
    <t>1423634340914</t>
  </si>
  <si>
    <t xml:space="preserve">Realizara Pago la primera semana de julio </t>
  </si>
  <si>
    <t xml:space="preserve">
1010182149 ANDRES  VILLAMIL PINZON</t>
  </si>
  <si>
    <t>43407</t>
  </si>
  <si>
    <t>1423634340712</t>
  </si>
  <si>
    <t xml:space="preserve">Se envio recordatorio de pago </t>
  </si>
  <si>
    <t>_x000D_51833524 SANDRA LEONORA DIAZ GUTIERREZ (50.00%)
_x000D_72152859 GERARDO  VARGAS BAENA (50.00%)</t>
  </si>
  <si>
    <t>43101</t>
  </si>
  <si>
    <t>1423634310113</t>
  </si>
  <si>
    <t xml:space="preserve">
42008897 EMILSEN YANETH GUARIN ALARCON </t>
  </si>
  <si>
    <t>43510</t>
  </si>
  <si>
    <t>1423634351018</t>
  </si>
  <si>
    <t xml:space="preserve">% Cartera Informe 28 de Mayo </t>
  </si>
  <si>
    <t>Recaudo Realizado (Junio)</t>
  </si>
  <si>
    <t>Compromiso de pago 15 de Junio 2026, se hace gestion constante sin tener respuesta del cliente</t>
  </si>
  <si>
    <t>Ingreso Monetizacion Junio 18 , proximo pago Julio 15</t>
  </si>
  <si>
    <t xml:space="preserve">Desistimiento Radicado en sala de venta en proceso </t>
  </si>
  <si>
    <t xml:space="preserve">Compromiso de pago 03 de Junio 2026, INCUMPLIO COMPROMISO , se continua gestion </t>
  </si>
  <si>
    <t xml:space="preserve">Clientes no responden las llamadas, se solicito colaboracion con su asesora Karen, en espera de respuesta, AUN SIN RESPUESTA PORQUE EL CLIENTE NO CONTESTA </t>
  </si>
  <si>
    <t xml:space="preserve">Compromiso de pago 02 de Junio 2026, INCUMPLIO ; Nuevo Compromiso Junio 30 una cuota y junio 15 se coloca al dia </t>
  </si>
  <si>
    <t xml:space="preserve">Cliente cancela cada 3 meses, lo realizara la primera semana de Julio </t>
  </si>
  <si>
    <t>Molestos por la gestion de cobro, indican que tambien estamos en mora con la entrega, que visitaron el proyecto y esta super atrasado, compromiso 30 de Mayo 1 cuota, realizo junio 16 pago por $3MM</t>
  </si>
  <si>
    <t>Cliente estaba pensando en ceder el apartamento, Claudia informa que no esta en proceso y no ha firmado la promesa, cliente no responde las llamadas // ENVIAR CORREO POR EL TEMA DE LA CESION //AUN SIN RESPUESTA</t>
  </si>
  <si>
    <t xml:space="preserve">Cliente cancela los 20 de cada mes, pero no ha efectuado pagos, quedo en confirmar las fechas de programacion de pagos, PAGA DOS CUOTAS JULIO 20 </t>
  </si>
  <si>
    <t xml:space="preserve">Compromiso de pago 04 de Junio 2026, NO CUMPLIO , nuevo compromiso primera semana de julio </t>
  </si>
  <si>
    <t>_x000D_53177363 LEIDY DAYANA SANDOVAL ROJAS (50.00%)
_x000D_5643632973 JOSEPH LEE ALGIERE  (50.00%)</t>
  </si>
  <si>
    <t>53310</t>
  </si>
  <si>
    <t>1429645331000</t>
  </si>
  <si>
    <t>Compromiso de pago 10 de julio 2026</t>
  </si>
  <si>
    <t>Compromiso de pago 30 de Junio 2026.</t>
  </si>
  <si>
    <t>Compromiso de pago 30de Junio 2026.</t>
  </si>
  <si>
    <t>Compromiso de pago 05 de Julio 2026.</t>
  </si>
  <si>
    <t xml:space="preserve">Compromiso de pago 03 de Junio $7 millones y $12 millones el 05 de Junio 2026., REALIZO PAGO PARCIAL DE $9MM , NUEVAMENTE SE GESTIONA PROXIMO PAGO </t>
  </si>
  <si>
    <t>_x000D_42123725 CLAUDIA MILENA HINCAPIE ZAPATA (100.00%)</t>
  </si>
  <si>
    <t>53215</t>
  </si>
  <si>
    <t>1429645321504</t>
  </si>
  <si>
    <t>Compromiso de pago 15 de Julio 2026.</t>
  </si>
  <si>
    <t>_x000D_91272706 FLAMINIO  GUARIN ARENAS (100.00%)</t>
  </si>
  <si>
    <t>53113</t>
  </si>
  <si>
    <t>1429645311301</t>
  </si>
  <si>
    <t>_x000D_1125797952 JHON DAIRO GALVIS RODRIGUEZ (100.00%)</t>
  </si>
  <si>
    <t>53201</t>
  </si>
  <si>
    <t>1429645320110</t>
  </si>
  <si>
    <t>Cartera de 6 a 30 dias (3)</t>
  </si>
  <si>
    <t>Cartera de 61 a 90 dias (6)</t>
  </si>
  <si>
    <t>Cartera Mayor de 90 dias (4)</t>
  </si>
  <si>
    <t># de Clientes informe Junio 22</t>
  </si>
  <si>
    <t>Cliente se continua gestion de llamadas y envio de recordatorios sin comunicación (8 CI $11,200,000</t>
  </si>
  <si>
    <t xml:space="preserve"> // ENVIAR PREAVISO //</t>
  </si>
  <si>
    <t>REALIZO PAGO DE 1 MM en junio se continua gestion</t>
  </si>
  <si>
    <t>cliente realizo pago 2 de junio por valor de $2.100.000 se continua gestion (3 cuotas $ 4.055.933  pendientes CI)</t>
  </si>
  <si>
    <t>1423614141300</t>
  </si>
  <si>
    <t xml:space="preserve">MARIA ELENA TAMAYO GRISALES </t>
  </si>
  <si>
    <t xml:space="preserve">Cliente solicita descuento por pago en efectivo del valor del apto </t>
  </si>
  <si>
    <t>confirmar inf con el cliente</t>
  </si>
  <si>
    <t>Recaudo junio</t>
  </si>
  <si>
    <t>% Cartera Informe 28/05/2026</t>
  </si>
  <si>
    <t>GENERADO 18/06/2026</t>
  </si>
  <si>
    <t>JUAN CAMILO PATIÑO CASTRILLON</t>
  </si>
  <si>
    <t xml:space="preserve">
MERLIN  MONTOYA </t>
  </si>
  <si>
    <t xml:space="preserve">
KONSTRUMEK S.A.S    MARIA ALEJANDRA TELLO</t>
  </si>
  <si>
    <t xml:space="preserve">
 LUIS FELIPE LAMUS HERRERA 
EDDY YANETH HERRERA LOZADA </t>
  </si>
  <si>
    <t xml:space="preserve">
 DIEGO FERNANDO ORTIZ TERAN </t>
  </si>
  <si>
    <t xml:space="preserve">
 DAVID ALEXANDER BARBOSA MEDINA 
FABIAN ALBERTO BARBOSA MEDINA </t>
  </si>
  <si>
    <t>JAVIER FELIPE MOLANO TERAN</t>
  </si>
  <si>
    <t>2-F</t>
  </si>
  <si>
    <t>1423624220603</t>
  </si>
  <si>
    <t xml:space="preserve">
JHONY  MONTEALEGRE MORENO </t>
  </si>
  <si>
    <t>1-K</t>
  </si>
  <si>
    <t>1423624211109</t>
  </si>
  <si>
    <t xml:space="preserve">
 CAMILO FERNANDO ULLOA MAYORGA
 MARISOL  LONDOÑO PALACIO </t>
  </si>
  <si>
    <t xml:space="preserve">
NANCY ESPERANZA ALVAREZ GUTIERREZ )
 LUIS GERMAN SANCHEZ ROJAS </t>
  </si>
  <si>
    <t># de Clientes informe junio 18</t>
  </si>
  <si>
    <t>Generado: 18-06-2026</t>
  </si>
  <si>
    <t>Cliente realizo abono en junio de 3 mm, realiza pagos en el mes de valores bajos, se continua gestion de cartera (CI 7 CUOTAS 17.300.600)</t>
  </si>
  <si>
    <t>Cliente  realiza compromiso para el 24 de junio $2.800.000 y el 26 de juni $4.000.000// se le informo que debia estar al dia con la mitad del de lo adeudado o se procederia a realizar desistimiento y me confirmo fecha 25 de junio//</t>
  </si>
  <si>
    <t>Cliente informa pago para el dia 8 de julio Se envia recordatorio de pago, en espera de confirmacion de pago cliente generalmente paga una cuota se continua gestion</t>
  </si>
  <si>
    <t>Cliente realizo pago 1 cuota 10 mm se encuentra en porceso de palicacion estaban en partidas</t>
  </si>
  <si>
    <t>Cliente realizo pago despues de corte se encuentra al dia</t>
  </si>
  <si>
    <t>1429625260815</t>
  </si>
  <si>
    <t xml:space="preserve">
ANDRES LEONARDO DE LEON FERNANDEZ </t>
  </si>
  <si>
    <t>1429625211002</t>
  </si>
  <si>
    <t xml:space="preserve">
 LEIDY JOHANNA BARRERA NARVAEZ
 BRAGNNER ALEJANDRO VICUÑA BEJARANO </t>
  </si>
  <si>
    <t>1429625241601</t>
  </si>
  <si>
    <t xml:space="preserve">
 MARTIN JAVIER MARTINEZ LOZANO </t>
  </si>
  <si>
    <t>Cliente pendiente firma de otrosi, saldo corresponde a valor total de CI</t>
  </si>
  <si>
    <t>1429625240700</t>
  </si>
  <si>
    <t>ALEN JAVIER DIAZ PINZON</t>
  </si>
  <si>
    <t>Cliente pendiente firma de otrosi</t>
  </si>
  <si>
    <t>% Cartera Informe 21/05/2026</t>
  </si>
  <si>
    <t xml:space="preserve">Cliente realizo abono de 10 mm en junio y confirma pago de 1o mm el 26 junio para proceder a realizar otro si </t>
  </si>
  <si>
    <t xml:space="preserve">
ROCIO DEL PILAR GARCIA HERNANDEZ (12.50%)
28869349 LINDA JHOANA GARCIA HERNANDEZ (12.50%)
 BLANCA RUTH HERNANDEZ DE GARCIA
 LUIS ALBERTO MONTALVAN BAZAN 
 BETSY ARACELI MONTALVAN BAZAN DE ALLEN 
TIMOTHY DONALD ALLEN  
 LUIS HUMBERTO ENRIQUEZ  
1023923440 MARIA ELIZABETH CASTRO CARDENAS (12.50%)</t>
  </si>
  <si>
    <t>1429635430200</t>
  </si>
  <si>
    <t xml:space="preserve">
JENIFFER JULIET GUZMAN OSPINA
 CRISTIAN CAMILO CUERVO RUIZ 
 HENRY  GUERRERO SOSA </t>
  </si>
  <si>
    <t>1-L</t>
  </si>
  <si>
    <t>1429635411200</t>
  </si>
  <si>
    <t xml:space="preserve">
CARLOS ARTURO RAMIREZ JIMENEZ </t>
  </si>
  <si>
    <t xml:space="preserve">
MONICA STELLA GOMEZ CALA 
93386580 JORGE IVAN MORENO MARTINEZ (50.00%)</t>
  </si>
  <si>
    <t>kaliza 3</t>
  </si>
  <si>
    <t>Se envia recordatorio de pago,. Cliente confirma pago para el dia 26 de junio</t>
  </si>
  <si>
    <t xml:space="preserve">cliente pendiente valor cuota de 5mm para terminar pago de compromisos y continuar con su gestion de cartera </t>
  </si>
  <si>
    <t>Se envio Notificacion de desistimiento 22 de mayo, cliente realiza abono de  $8,540,000 1 de junio solicita espera el 30 de junio, le informe que debia realizar pagos adicionales antes del 30 de junio</t>
  </si>
  <si>
    <t>cliente solicita espera para realizar pago total adeudado la primera semana de junio, no cumplio con compromiso, solo realizo pago de 2 mm en junio</t>
  </si>
  <si>
    <t xml:space="preserve">
42056572 MARIA MARLENNY PEREZ NARVAEZ </t>
  </si>
  <si>
    <t>5E</t>
  </si>
  <si>
    <t>5I</t>
  </si>
  <si>
    <t>6L</t>
  </si>
  <si>
    <t>2N</t>
  </si>
  <si>
    <t>1A</t>
  </si>
  <si>
    <t>4I</t>
  </si>
  <si>
    <t>4G</t>
  </si>
  <si>
    <t>5J</t>
  </si>
  <si>
    <t>3J</t>
  </si>
  <si>
    <t>2Ñ</t>
  </si>
  <si>
    <t>1M</t>
  </si>
  <si>
    <t>2A</t>
  </si>
  <si>
    <t>Cliente con compromiso de pago junio 10 de 2026</t>
  </si>
  <si>
    <t xml:space="preserve">Cliente se envio notificacion el  26 de mayo, cliente continua realizando abonos en el mes enjunio pago $1MM (7 CI $23.578.400) Me comunique con la asesora comercial Laura Ortiz  para que lo contactara y me ayudara con un arespuesta del valor adeudado, le escribe a la esposa en espera de confirmacion </t>
  </si>
  <si>
    <t>cliente indica que se le envio notificacion con nueva fecha de entrega en espera de otrosi, se le da contacto de experiencia para que le de la informacion con la nueva fecha de entrega para marzo (valor pendiente es $8.068.900 CI 7 CUOTAS)</t>
  </si>
  <si>
    <t>cliente realiza pagos de una cuota $563.000 se envia recordatorio del saldo (6 CI $3.380.400), se envia recordatorio del valor a la fecha, en espera que confirme el pago</t>
  </si>
  <si>
    <t xml:space="preserve"> cliente realizo abono de $1.338.970 10 de juni (CI de $3.347.425 5cuotas)</t>
  </si>
  <si>
    <t xml:space="preserve">Cliente solo realizo abono de 340mil 4 de junio se envio comunicado de prorroga con posible entrega para nov  (Valor pendiente de la C.I 4.700.000) se envia recordatorio de pago </t>
  </si>
  <si>
    <t>cliente realizo abono de una cuota 1.025.000 se encunetra en partidas  realiza compromiso para el 30 de junio de dos cuotas ya se encuentra en proceso (6 cuotas CI $6.151.938)se continua la gestion de cartera</t>
  </si>
  <si>
    <t xml:space="preserve">Se envia recordatorio si respuesta del cliente de confirmacion (8 cuotas $12.210.000 CI) </t>
  </si>
  <si>
    <t xml:space="preserve">Se envia recordatorio de pago, cliente realiza monetizaciones (el valor pendiente de CI 4 cuotas $2.349.602) se envia recordatorio </t>
  </si>
  <si>
    <t>Se envia recordatorio de pago (valor pendiente CI $12.060.438 5 cuotas)</t>
  </si>
  <si>
    <t xml:space="preserve">Se envia recordatorio de pago, el valor pendiente corresponde a las 3 ultimas cuotas </t>
  </si>
  <si>
    <t>Se envia recordartorio a la fecha el cliente tiene pendiente 5 cuotas de la CI $2.065.212</t>
  </si>
  <si>
    <t>Se envia recordatorio depago el valor pendiente son las 4 ultimas cuotas de  CI $1.350.123</t>
  </si>
  <si>
    <t>Se envia recordatorio de pago el valor pendiente corresponde a la ultima cuotas de CI</t>
  </si>
  <si>
    <t>Se envio Preaviso con fecha hasta el 11 junio, cliente sin respuesta de recordatorios y preaviso</t>
  </si>
  <si>
    <t>Se envia recordatorio de pago (valor pendiente CI $2.510.106 5 cuotas) cliente confirma pago total el dia 20 de junio</t>
  </si>
  <si>
    <t>preaviso</t>
  </si>
  <si>
    <t>Se envia recordatorio, en espera de confrimacion pago cuota realizo abono de 4 en junio 4,060mm</t>
  </si>
  <si>
    <t xml:space="preserve">Se envia recordatorio de pago cliente se comunica quiere validar pagos </t>
  </si>
  <si>
    <t xml:space="preserve">se comunico hoy solicita que se hay la posibilidad que haga una refinanciacion de la ci </t>
  </si>
  <si>
    <t>pague 50% para hacer reajuste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</si>
</sst>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4" formatCode="_-&quot;$&quot;* #,##0.00_-;\-&quot;$&quot;* #,##0.00_-;_-&quot;$&quot;* &quot;-&quot;??_-;_-@_-"/>
    <numFmt numFmtId="43" formatCode="_-* #,##0.00_-;\-* #,##0.00_-;_-* &quot;-&quot;??_-;_-@_-"/>
    <numFmt numFmtId="164" formatCode="_-&quot;$&quot;\ * #,##0.00_-;\-&quot;$&quot;\ * #,##0.00_-;_-&quot;$&quot;\ * &quot;-&quot;??_-;_-@_-"/>
    <numFmt numFmtId="165" formatCode="d/mm/yyyy\ h:mm:ss\ AM/PM"/>
    <numFmt numFmtId="166" formatCode="&quot;$&quot;\ #,##0.00"/>
    <numFmt numFmtId="167" formatCode="dd\-mmm\-yyyy"/>
    <numFmt numFmtId="168" formatCode="\$\ #,##0.00_);[Red]\(\$\ #,##0.00\);&quot;-&quot;"/>
    <numFmt numFmtId="169" formatCode="_-&quot;$&quot;\ * #,##0_-;\-&quot;$&quot;\ * #,##0_-;_-&quot;$&quot;\ * &quot;-&quot;??_-;_-@_-"/>
    <numFmt numFmtId="170" formatCode="\$\ #,##0_);[Red]\(\$\ #,##0\);&quot;-&quot;"/>
    <numFmt numFmtId="171" formatCode="&quot;$&quot;\ #,##0"/>
    <numFmt numFmtId="172" formatCode="#,##0.00;[Red]#,##0.00"/>
    <numFmt numFmtId="173" formatCode="_-&quot;$&quot;* #,##0_-;\-&quot;$&quot;* #,##0_-;_-&quot;$&quot;* &quot;-&quot;??_-;_-@_-"/>
    <numFmt numFmtId="174" formatCode="_-* #,##0_-;\-* #,##0_-;_-* &quot;-&quot;??_-;_-@_-"/>
    <numFmt numFmtId="175" formatCode="#,##0;[Red]#,##0"/>
    <numFmt numFmtId="176" formatCode="&quot;$&quot;#,##0"/>
    <numFmt numFmtId="177" formatCode="&quot;$&quot;#,##0.00"/>
    <numFmt numFmtId="178" formatCode="#,##0_ ;\-#,##0\ "/>
    <numFmt numFmtId="179" formatCode="dd/mm/yyyy;@"/>
    <numFmt numFmtId="180" formatCode="\$\ #,##0.00_)&quot; CxP&quot;;[Red]\(\$\ #,##0.00\)&quot; CxC&quot;;&quot;-&quot;"/>
  </numFmts>
  <fonts count="16"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b/>
      <sz val="10"/>
      <name val="Tahoma"/>
      <family val="2"/>
    </font>
    <font>
      <b/>
      <sz val="10"/>
      <color indexed="9"/>
      <name val="Arial"/>
      <family val="2"/>
    </font>
    <font>
      <b/>
      <sz val="10"/>
      <color indexed="9"/>
      <name val="Aptos Narrow"/>
      <family val="2"/>
      <scheme val="minor"/>
    </font>
    <font>
      <b/>
      <sz val="10"/>
      <color theme="1"/>
      <name val="Aptos Narrow"/>
      <family val="2"/>
      <scheme val="minor"/>
    </font>
    <font>
      <sz val="10"/>
      <color theme="1"/>
      <name val="Aptos Narrow"/>
      <family val="2"/>
      <scheme val="minor"/>
    </font>
    <font>
      <sz val="10"/>
      <color rgb="FFFF0000"/>
      <name val="Aptos Narrow"/>
      <family val="2"/>
      <scheme val="minor"/>
    </font>
    <font>
      <sz val="8"/>
      <name val="Aptos Narrow"/>
      <family val="2"/>
      <scheme val="minor"/>
    </font>
    <font>
      <sz val="11"/>
      <color rgb="FF000000"/>
      <name val="Aptos Narrow"/>
      <family val="2"/>
      <scheme val="minor"/>
    </font>
    <font>
      <sz val="11"/>
      <name val="Aptos Narrow"/>
      <family val="2"/>
      <scheme val="minor"/>
    </font>
    <font>
      <sz val="10"/>
      <name val="Aptos Narrow"/>
      <family val="2"/>
      <scheme val="minor"/>
    </font>
    <font>
      <b/>
      <sz val="11"/>
      <name val="Aptos Narrow"/>
      <family val="2"/>
      <scheme val="minor"/>
    </font>
    <font>
      <b/>
      <sz val="11"/>
      <color indexed="9"/>
      <name val="Aptos Narrow"/>
      <family val="2"/>
      <scheme val="minor"/>
    </font>
  </fonts>
  <fills count="10">
    <fill>
      <patternFill patternType="none"/>
    </fill>
    <fill>
      <patternFill patternType="gray125"/>
    </fill>
    <fill>
      <patternFill patternType="solid">
        <fgColor rgb="FF011375"/>
        <bgColor indexed="64"/>
      </patternFill>
    </fill>
    <fill>
      <patternFill patternType="solid">
        <fgColor theme="3" tint="-0.249977111117893"/>
        <bgColor indexed="64"/>
      </patternFill>
    </fill>
    <fill>
      <patternFill patternType="solid">
        <fgColor theme="9"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6"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5">
    <xf numFmtId="0" fontId="0" fillId="0" borderId="0"/>
    <xf numFmtId="164" fontId="1" fillId="0" borderId="0" applyFont="0" applyFill="0" applyBorder="0" applyAlignment="0" applyProtection="0"/>
    <xf numFmtId="9" fontId="1" fillId="0" borderId="0" applyFont="0" applyFill="0" applyBorder="0" applyAlignment="0" applyProtection="0"/>
    <xf numFmtId="0" fontId="5" fillId="2" borderId="0" applyNumberFormat="0" applyBorder="0">
      <alignment horizontal="centerContinuous" vertical="center" wrapText="1"/>
    </xf>
    <xf numFmtId="43" fontId="1" fillId="0" borderId="0" applyFont="0" applyFill="0" applyBorder="0" applyAlignment="0" applyProtection="0"/>
  </cellStyleXfs>
  <cellXfs count="222">
    <xf numFmtId="0" fontId="0" fillId="0" borderId="0" xfId="0"/>
    <xf numFmtId="0" fontId="3" fillId="0" borderId="0" xfId="0" applyFont="1"/>
    <xf numFmtId="0" fontId="3" fillId="0" borderId="0" xfId="0" applyFont="1" applyAlignment="1">
      <alignment horizontal="center"/>
    </xf>
    <xf numFmtId="165" fontId="3" fillId="0" borderId="0" xfId="0" applyNumberFormat="1" applyFont="1" applyAlignment="1">
      <alignment vertical="top"/>
    </xf>
    <xf numFmtId="0" fontId="0" fillId="0" borderId="0" xfId="0" applyAlignment="1">
      <alignment horizontal="center"/>
    </xf>
    <xf numFmtId="1" fontId="0" fillId="0" borderId="0" xfId="0" applyNumberFormat="1"/>
    <xf numFmtId="166" fontId="0" fillId="0" borderId="0" xfId="0" applyNumberFormat="1" applyAlignment="1">
      <alignment horizontal="right"/>
    </xf>
    <xf numFmtId="0" fontId="6" fillId="3" borderId="1" xfId="3" applyFont="1" applyFill="1" applyBorder="1" applyAlignment="1">
      <alignment horizontal="center" vertical="center" wrapText="1"/>
    </xf>
    <xf numFmtId="168" fontId="6" fillId="3" borderId="1" xfId="3" applyNumberFormat="1" applyFont="1" applyFill="1" applyBorder="1" applyAlignment="1">
      <alignment horizontal="center" vertical="center" wrapText="1"/>
    </xf>
    <xf numFmtId="167" fontId="6" fillId="3" borderId="1" xfId="3" applyNumberFormat="1" applyFont="1" applyFill="1" applyBorder="1" applyAlignment="1">
      <alignment horizontal="center" vertical="center" wrapText="1"/>
    </xf>
    <xf numFmtId="1" fontId="6" fillId="3" borderId="1" xfId="3" applyNumberFormat="1" applyFont="1" applyFill="1" applyBorder="1" applyAlignment="1">
      <alignment horizontal="center" vertical="center" wrapText="1"/>
    </xf>
    <xf numFmtId="10" fontId="6" fillId="3" borderId="1" xfId="3" applyNumberFormat="1" applyFont="1" applyFill="1" applyBorder="1" applyAlignment="1">
      <alignment horizontal="center" vertical="center" wrapText="1"/>
    </xf>
    <xf numFmtId="166" fontId="6" fillId="3" borderId="1" xfId="3" applyNumberFormat="1" applyFont="1" applyFill="1" applyBorder="1" applyAlignment="1">
      <alignment horizontal="center" vertical="center" wrapText="1"/>
    </xf>
    <xf numFmtId="0" fontId="0" fillId="0" borderId="1" xfId="0" applyBorder="1"/>
    <xf numFmtId="0" fontId="2" fillId="3" borderId="0" xfId="0" applyFont="1" applyFill="1"/>
    <xf numFmtId="0" fontId="2" fillId="3" borderId="0" xfId="0" applyFont="1" applyFill="1" applyAlignment="1">
      <alignment horizontal="center"/>
    </xf>
    <xf numFmtId="168" fontId="2" fillId="3" borderId="0" xfId="0" applyNumberFormat="1" applyFont="1" applyFill="1"/>
    <xf numFmtId="166" fontId="2" fillId="3" borderId="0" xfId="0" applyNumberFormat="1" applyFont="1" applyFill="1" applyAlignment="1">
      <alignment horizontal="right"/>
    </xf>
    <xf numFmtId="0" fontId="7" fillId="4" borderId="1" xfId="0" applyFont="1" applyFill="1" applyBorder="1"/>
    <xf numFmtId="0" fontId="3" fillId="4" borderId="1" xfId="0" applyFont="1" applyFill="1" applyBorder="1"/>
    <xf numFmtId="169" fontId="0" fillId="0" borderId="1" xfId="1" applyNumberFormat="1" applyFont="1" applyBorder="1"/>
    <xf numFmtId="170" fontId="0" fillId="0" borderId="1" xfId="0" applyNumberFormat="1" applyBorder="1"/>
    <xf numFmtId="10" fontId="0" fillId="0" borderId="1" xfId="2" applyNumberFormat="1" applyFont="1" applyBorder="1"/>
    <xf numFmtId="171" fontId="0" fillId="0" borderId="1" xfId="0" applyNumberFormat="1" applyBorder="1"/>
    <xf numFmtId="166" fontId="0" fillId="0" borderId="1" xfId="0" applyNumberFormat="1" applyBorder="1"/>
    <xf numFmtId="0" fontId="3" fillId="0" borderId="1" xfId="0" applyFont="1" applyBorder="1"/>
    <xf numFmtId="10" fontId="0" fillId="0" borderId="1" xfId="2" applyNumberFormat="1" applyFont="1" applyFill="1" applyBorder="1"/>
    <xf numFmtId="0" fontId="3" fillId="4" borderId="0" xfId="0" applyFont="1" applyFill="1"/>
    <xf numFmtId="10" fontId="0" fillId="0" borderId="0" xfId="2" applyNumberFormat="1" applyFont="1" applyFill="1" applyBorder="1"/>
    <xf numFmtId="166" fontId="0" fillId="0" borderId="0" xfId="0" applyNumberFormat="1"/>
    <xf numFmtId="0" fontId="8" fillId="5" borderId="0" xfId="0" applyFont="1" applyFill="1"/>
    <xf numFmtId="0" fontId="8" fillId="0" borderId="0" xfId="0" applyFont="1"/>
    <xf numFmtId="10" fontId="8" fillId="0" borderId="0" xfId="2" applyNumberFormat="1" applyFont="1" applyFill="1"/>
    <xf numFmtId="4" fontId="8" fillId="0" borderId="0" xfId="0" applyNumberFormat="1" applyFont="1"/>
    <xf numFmtId="0" fontId="7" fillId="0" borderId="0" xfId="0" applyFont="1"/>
    <xf numFmtId="0" fontId="7" fillId="4" borderId="1" xfId="0" applyFont="1" applyFill="1" applyBorder="1" applyAlignment="1">
      <alignment horizontal="center"/>
    </xf>
    <xf numFmtId="175" fontId="8" fillId="0" borderId="1" xfId="1" applyNumberFormat="1" applyFont="1" applyFill="1" applyBorder="1"/>
    <xf numFmtId="4" fontId="8" fillId="0" borderId="1" xfId="1" applyNumberFormat="1" applyFont="1" applyFill="1" applyBorder="1"/>
    <xf numFmtId="170" fontId="8" fillId="0" borderId="1" xfId="0" applyNumberFormat="1" applyFont="1" applyBorder="1"/>
    <xf numFmtId="171" fontId="8" fillId="6" borderId="1" xfId="1" applyNumberFormat="1" applyFont="1" applyFill="1" applyBorder="1"/>
    <xf numFmtId="170" fontId="8" fillId="6" borderId="1" xfId="0" applyNumberFormat="1" applyFont="1" applyFill="1" applyBorder="1" applyAlignment="1">
      <alignment wrapText="1"/>
    </xf>
    <xf numFmtId="0" fontId="7" fillId="4" borderId="3" xfId="0" applyFont="1" applyFill="1" applyBorder="1"/>
    <xf numFmtId="10" fontId="8" fillId="0" borderId="1" xfId="2" applyNumberFormat="1" applyFont="1" applyFill="1" applyBorder="1"/>
    <xf numFmtId="176" fontId="8" fillId="0" borderId="1" xfId="0" applyNumberFormat="1" applyFont="1" applyBorder="1"/>
    <xf numFmtId="10" fontId="8" fillId="0" borderId="1" xfId="1" applyNumberFormat="1" applyFont="1" applyFill="1" applyBorder="1"/>
    <xf numFmtId="10" fontId="8" fillId="0" borderId="1" xfId="0" applyNumberFormat="1" applyFont="1" applyBorder="1"/>
    <xf numFmtId="9" fontId="8" fillId="0" borderId="0" xfId="2" applyFont="1" applyFill="1"/>
    <xf numFmtId="0" fontId="0" fillId="0" borderId="9" xfId="0" applyBorder="1"/>
    <xf numFmtId="166" fontId="0" fillId="0" borderId="9" xfId="0" applyNumberFormat="1" applyBorder="1" applyAlignment="1">
      <alignment horizontal="right"/>
    </xf>
    <xf numFmtId="0" fontId="0" fillId="0" borderId="9" xfId="0" applyBorder="1" applyAlignment="1">
      <alignment horizontal="center"/>
    </xf>
    <xf numFmtId="0" fontId="0" fillId="0" borderId="10" xfId="0" applyBorder="1"/>
    <xf numFmtId="166" fontId="0" fillId="0" borderId="10" xfId="0" applyNumberFormat="1" applyBorder="1" applyAlignment="1">
      <alignment horizontal="right"/>
    </xf>
    <xf numFmtId="0" fontId="0" fillId="0" borderId="10" xfId="0" applyBorder="1" applyAlignment="1">
      <alignment horizontal="center"/>
    </xf>
    <xf numFmtId="0" fontId="3" fillId="4" borderId="11" xfId="0" applyFont="1" applyFill="1" applyBorder="1"/>
    <xf numFmtId="0" fontId="3" fillId="4" borderId="12" xfId="0" applyFont="1" applyFill="1" applyBorder="1"/>
    <xf numFmtId="0" fontId="3" fillId="4" borderId="13" xfId="0" applyFont="1" applyFill="1" applyBorder="1"/>
    <xf numFmtId="0" fontId="6" fillId="0" borderId="1" xfId="3" applyFont="1" applyFill="1" applyBorder="1" applyAlignment="1">
      <alignment horizontal="center" vertical="center" wrapText="1"/>
    </xf>
    <xf numFmtId="0" fontId="7" fillId="0" borderId="1" xfId="3" applyFont="1" applyFill="1" applyBorder="1" applyAlignment="1">
      <alignment horizontal="center" vertical="center" wrapText="1"/>
    </xf>
    <xf numFmtId="0" fontId="7" fillId="4" borderId="1" xfId="3" applyFont="1" applyFill="1" applyBorder="1" applyAlignment="1">
      <alignment horizontal="center" vertical="center" wrapText="1"/>
    </xf>
    <xf numFmtId="1" fontId="7" fillId="0" borderId="1" xfId="3" applyNumberFormat="1" applyFont="1" applyFill="1" applyBorder="1" applyAlignment="1">
      <alignment horizontal="center" vertical="center" wrapText="1"/>
    </xf>
    <xf numFmtId="167" fontId="7" fillId="4" borderId="1" xfId="3" applyNumberFormat="1" applyFont="1" applyFill="1" applyBorder="1" applyAlignment="1">
      <alignment horizontal="center" vertical="center" wrapText="1"/>
    </xf>
    <xf numFmtId="168" fontId="7" fillId="4" borderId="1" xfId="3" applyNumberFormat="1" applyFont="1" applyFill="1" applyBorder="1" applyAlignment="1">
      <alignment horizontal="center" vertical="center" wrapText="1"/>
    </xf>
    <xf numFmtId="166" fontId="7" fillId="4" borderId="1" xfId="3" applyNumberFormat="1" applyFont="1" applyFill="1" applyBorder="1" applyAlignment="1">
      <alignment horizontal="center" vertical="center" wrapText="1"/>
    </xf>
    <xf numFmtId="10" fontId="7" fillId="4" borderId="1" xfId="3" applyNumberFormat="1" applyFont="1" applyFill="1" applyBorder="1" applyAlignment="1">
      <alignment horizontal="center" vertical="center" wrapText="1"/>
    </xf>
    <xf numFmtId="0" fontId="0" fillId="4" borderId="1" xfId="0" applyFill="1" applyBorder="1"/>
    <xf numFmtId="0" fontId="3" fillId="4" borderId="1" xfId="0" applyFont="1" applyFill="1" applyBorder="1" applyAlignment="1">
      <alignment horizontal="center"/>
    </xf>
    <xf numFmtId="1" fontId="0" fillId="0" borderId="1" xfId="0" applyNumberFormat="1" applyBorder="1"/>
    <xf numFmtId="174" fontId="7" fillId="4" borderId="1" xfId="4" applyNumberFormat="1" applyFont="1" applyFill="1" applyBorder="1" applyAlignment="1">
      <alignment horizontal="center" vertical="center" wrapText="1"/>
    </xf>
    <xf numFmtId="174" fontId="0" fillId="4" borderId="1" xfId="4" applyNumberFormat="1" applyFont="1" applyFill="1" applyBorder="1"/>
    <xf numFmtId="0" fontId="0" fillId="0" borderId="1" xfId="0" applyBorder="1" applyAlignment="1">
      <alignment horizontal="center"/>
    </xf>
    <xf numFmtId="10" fontId="0" fillId="4" borderId="1" xfId="2" applyNumberFormat="1" applyFont="1" applyFill="1" applyBorder="1"/>
    <xf numFmtId="174" fontId="3" fillId="4" borderId="1" xfId="4" applyNumberFormat="1" applyFont="1" applyFill="1" applyBorder="1"/>
    <xf numFmtId="170" fontId="2" fillId="3" borderId="0" xfId="0" applyNumberFormat="1" applyFont="1" applyFill="1"/>
    <xf numFmtId="1" fontId="0" fillId="0" borderId="1" xfId="2" applyNumberFormat="1" applyFont="1" applyBorder="1"/>
    <xf numFmtId="14" fontId="7" fillId="4" borderId="1" xfId="3" applyNumberFormat="1" applyFont="1" applyFill="1" applyBorder="1" applyAlignment="1">
      <alignment horizontal="center" vertical="center" wrapText="1"/>
    </xf>
    <xf numFmtId="14" fontId="0" fillId="0" borderId="1" xfId="0" applyNumberFormat="1" applyBorder="1"/>
    <xf numFmtId="14" fontId="0" fillId="4" borderId="1" xfId="0" applyNumberFormat="1" applyFill="1" applyBorder="1"/>
    <xf numFmtId="164" fontId="7" fillId="4" borderId="1" xfId="1" applyFont="1" applyFill="1" applyBorder="1" applyAlignment="1">
      <alignment horizontal="center" vertical="center" wrapText="1"/>
    </xf>
    <xf numFmtId="164" fontId="0" fillId="0" borderId="1" xfId="1" applyFont="1" applyBorder="1"/>
    <xf numFmtId="164" fontId="0" fillId="4" borderId="1" xfId="1" applyFont="1" applyFill="1" applyBorder="1"/>
    <xf numFmtId="164" fontId="3" fillId="4" borderId="1" xfId="1" applyFont="1" applyFill="1" applyBorder="1"/>
    <xf numFmtId="178" fontId="0" fillId="0" borderId="1" xfId="1" applyNumberFormat="1" applyFont="1" applyBorder="1"/>
    <xf numFmtId="169" fontId="0" fillId="0" borderId="1" xfId="1" applyNumberFormat="1" applyFont="1" applyFill="1" applyBorder="1"/>
    <xf numFmtId="0" fontId="0" fillId="0" borderId="1" xfId="0" applyBorder="1" applyAlignment="1">
      <alignment wrapText="1"/>
    </xf>
    <xf numFmtId="1" fontId="0" fillId="0" borderId="1" xfId="0" applyNumberFormat="1" applyBorder="1" applyAlignment="1">
      <alignment horizontal="left"/>
    </xf>
    <xf numFmtId="167" fontId="0" fillId="0" borderId="1" xfId="0" applyNumberFormat="1" applyBorder="1"/>
    <xf numFmtId="0" fontId="12" fillId="5" borderId="1" xfId="0" applyFont="1" applyFill="1" applyBorder="1" applyAlignment="1">
      <alignment wrapText="1"/>
    </xf>
    <xf numFmtId="0" fontId="0" fillId="4" borderId="1" xfId="0" applyFill="1" applyBorder="1" applyAlignment="1">
      <alignment horizontal="center"/>
    </xf>
    <xf numFmtId="14" fontId="0" fillId="0" borderId="1" xfId="0" applyNumberFormat="1" applyBorder="1" applyAlignment="1">
      <alignment horizontal="center"/>
    </xf>
    <xf numFmtId="9" fontId="0" fillId="0" borderId="0" xfId="2" applyFont="1"/>
    <xf numFmtId="164" fontId="0" fillId="0" borderId="1" xfId="1" applyFont="1" applyFill="1" applyBorder="1"/>
    <xf numFmtId="169" fontId="7" fillId="4" borderId="1" xfId="1" applyNumberFormat="1" applyFont="1" applyFill="1" applyBorder="1" applyAlignment="1">
      <alignment horizontal="center" vertical="center" wrapText="1"/>
    </xf>
    <xf numFmtId="169" fontId="0" fillId="4" borderId="1" xfId="1" applyNumberFormat="1" applyFont="1" applyFill="1" applyBorder="1"/>
    <xf numFmtId="169" fontId="3" fillId="4" borderId="1" xfId="1" applyNumberFormat="1" applyFont="1" applyFill="1" applyBorder="1"/>
    <xf numFmtId="169" fontId="1" fillId="0" borderId="1" xfId="1" applyNumberFormat="1" applyFont="1" applyFill="1" applyBorder="1" applyAlignment="1">
      <alignment horizontal="center" vertical="center" wrapText="1"/>
    </xf>
    <xf numFmtId="169" fontId="1" fillId="0" borderId="1" xfId="1" applyNumberFormat="1" applyFont="1" applyBorder="1" applyAlignment="1">
      <alignment horizontal="center"/>
    </xf>
    <xf numFmtId="169" fontId="0" fillId="0" borderId="0" xfId="1" applyNumberFormat="1" applyFont="1"/>
    <xf numFmtId="169" fontId="3" fillId="4" borderId="1" xfId="1" applyNumberFormat="1" applyFont="1" applyFill="1" applyBorder="1" applyAlignment="1">
      <alignment horizontal="center" vertical="center" wrapText="1"/>
    </xf>
    <xf numFmtId="171" fontId="3" fillId="4" borderId="1" xfId="3" applyNumberFormat="1" applyFont="1" applyFill="1" applyBorder="1" applyAlignment="1">
      <alignment horizontal="right" vertical="center" wrapText="1"/>
    </xf>
    <xf numFmtId="169" fontId="3" fillId="4" borderId="1" xfId="0" applyNumberFormat="1" applyFont="1" applyFill="1" applyBorder="1"/>
    <xf numFmtId="171" fontId="2" fillId="3" borderId="0" xfId="0" applyNumberFormat="1" applyFont="1" applyFill="1" applyAlignment="1">
      <alignment horizontal="right"/>
    </xf>
    <xf numFmtId="44" fontId="3" fillId="4" borderId="1" xfId="0" applyNumberFormat="1" applyFont="1" applyFill="1" applyBorder="1"/>
    <xf numFmtId="173" fontId="3" fillId="0" borderId="11" xfId="0" applyNumberFormat="1" applyFont="1" applyBorder="1"/>
    <xf numFmtId="173" fontId="3" fillId="0" borderId="12" xfId="0" applyNumberFormat="1" applyFont="1" applyBorder="1"/>
    <xf numFmtId="164" fontId="3" fillId="0" borderId="13" xfId="1" applyFont="1" applyBorder="1"/>
    <xf numFmtId="0" fontId="3" fillId="4" borderId="1" xfId="3" applyFont="1" applyFill="1" applyBorder="1" applyAlignment="1">
      <alignment horizontal="center" vertical="center" wrapText="1"/>
    </xf>
    <xf numFmtId="169" fontId="3" fillId="0" borderId="11" xfId="0" applyNumberFormat="1" applyFont="1" applyBorder="1"/>
    <xf numFmtId="169" fontId="3" fillId="0" borderId="12" xfId="0" applyNumberFormat="1" applyFont="1" applyBorder="1"/>
    <xf numFmtId="169" fontId="3" fillId="0" borderId="13" xfId="0" applyNumberFormat="1" applyFont="1" applyBorder="1"/>
    <xf numFmtId="169" fontId="0" fillId="0" borderId="9" xfId="1" applyNumberFormat="1" applyFont="1" applyBorder="1"/>
    <xf numFmtId="169" fontId="0" fillId="0" borderId="9" xfId="1" applyNumberFormat="1" applyFont="1" applyBorder="1" applyAlignment="1">
      <alignment horizontal="right"/>
    </xf>
    <xf numFmtId="169" fontId="3" fillId="0" borderId="11" xfId="1" applyNumberFormat="1" applyFont="1" applyBorder="1"/>
    <xf numFmtId="169" fontId="0" fillId="0" borderId="0" xfId="1" applyNumberFormat="1" applyFont="1" applyAlignment="1">
      <alignment horizontal="right"/>
    </xf>
    <xf numFmtId="169" fontId="3" fillId="0" borderId="12" xfId="1" applyNumberFormat="1" applyFont="1" applyBorder="1"/>
    <xf numFmtId="169" fontId="0" fillId="0" borderId="10" xfId="1" applyNumberFormat="1" applyFont="1" applyBorder="1"/>
    <xf numFmtId="169" fontId="0" fillId="0" borderId="10" xfId="1" applyNumberFormat="1" applyFont="1" applyBorder="1" applyAlignment="1">
      <alignment horizontal="right"/>
    </xf>
    <xf numFmtId="169" fontId="3" fillId="0" borderId="13" xfId="1" applyNumberFormat="1" applyFont="1" applyBorder="1"/>
    <xf numFmtId="169" fontId="6" fillId="3" borderId="1" xfId="1" applyNumberFormat="1" applyFont="1" applyFill="1" applyBorder="1" applyAlignment="1">
      <alignment horizontal="center" vertical="center" wrapText="1"/>
    </xf>
    <xf numFmtId="179" fontId="7" fillId="4" borderId="1" xfId="3" applyNumberFormat="1" applyFont="1" applyFill="1" applyBorder="1" applyAlignment="1">
      <alignment horizontal="center" vertical="center" wrapText="1"/>
    </xf>
    <xf numFmtId="179" fontId="0" fillId="0" borderId="1" xfId="0" applyNumberFormat="1" applyBorder="1"/>
    <xf numFmtId="10" fontId="7" fillId="4" borderId="1" xfId="3" applyNumberFormat="1" applyFont="1" applyFill="1" applyBorder="1" applyAlignment="1">
      <alignment horizontal="center" wrapText="1"/>
    </xf>
    <xf numFmtId="3" fontId="0" fillId="0" borderId="1" xfId="0" applyNumberFormat="1" applyBorder="1" applyAlignment="1">
      <alignment horizontal="center"/>
    </xf>
    <xf numFmtId="166" fontId="0" fillId="5" borderId="1" xfId="0" applyNumberFormat="1" applyFill="1" applyBorder="1" applyAlignment="1">
      <alignment horizontal="right"/>
    </xf>
    <xf numFmtId="0" fontId="12" fillId="0" borderId="1" xfId="0" applyFont="1" applyBorder="1" applyAlignment="1">
      <alignment wrapText="1"/>
    </xf>
    <xf numFmtId="179" fontId="0" fillId="4" borderId="1" xfId="0" applyNumberFormat="1" applyFill="1" applyBorder="1"/>
    <xf numFmtId="169" fontId="3" fillId="4" borderId="0" xfId="1" applyNumberFormat="1" applyFont="1" applyFill="1"/>
    <xf numFmtId="0" fontId="0" fillId="5" borderId="1" xfId="0" applyFill="1" applyBorder="1"/>
    <xf numFmtId="1" fontId="12" fillId="5" borderId="1" xfId="0" applyNumberFormat="1" applyFont="1" applyFill="1" applyBorder="1" applyAlignment="1">
      <alignment horizontal="left"/>
    </xf>
    <xf numFmtId="169" fontId="2" fillId="3" borderId="0" xfId="1" applyNumberFormat="1" applyFont="1" applyFill="1"/>
    <xf numFmtId="4" fontId="12" fillId="5" borderId="1" xfId="0" applyNumberFormat="1" applyFont="1" applyFill="1" applyBorder="1" applyAlignment="1">
      <alignment horizontal="center"/>
    </xf>
    <xf numFmtId="170" fontId="0" fillId="0" borderId="1" xfId="0" applyNumberFormat="1" applyBorder="1" applyAlignment="1">
      <alignment horizontal="right"/>
    </xf>
    <xf numFmtId="171" fontId="12" fillId="5" borderId="1" xfId="0" applyNumberFormat="1" applyFont="1" applyFill="1" applyBorder="1" applyAlignment="1">
      <alignment horizontal="right"/>
    </xf>
    <xf numFmtId="171" fontId="0" fillId="5" borderId="1" xfId="0" applyNumberFormat="1" applyFill="1" applyBorder="1" applyAlignment="1">
      <alignment horizontal="right"/>
    </xf>
    <xf numFmtId="0" fontId="0" fillId="0" borderId="0" xfId="0" applyAlignment="1">
      <alignment wrapText="1"/>
    </xf>
    <xf numFmtId="4" fontId="0" fillId="0" borderId="1" xfId="0" applyNumberFormat="1" applyBorder="1" applyAlignment="1">
      <alignment horizontal="center"/>
    </xf>
    <xf numFmtId="166" fontId="12" fillId="5" borderId="1" xfId="0" applyNumberFormat="1" applyFont="1" applyFill="1" applyBorder="1" applyAlignment="1">
      <alignment horizontal="right"/>
    </xf>
    <xf numFmtId="169" fontId="2" fillId="3" borderId="0" xfId="1" applyNumberFormat="1" applyFont="1" applyFill="1" applyAlignment="1">
      <alignment horizontal="right"/>
    </xf>
    <xf numFmtId="164" fontId="2" fillId="3" borderId="0" xfId="0" applyNumberFormat="1" applyFont="1" applyFill="1" applyAlignment="1">
      <alignment horizontal="right"/>
    </xf>
    <xf numFmtId="3" fontId="0" fillId="0" borderId="1" xfId="0" applyNumberFormat="1" applyBorder="1"/>
    <xf numFmtId="179" fontId="0" fillId="5" borderId="1" xfId="0" applyNumberFormat="1" applyFill="1" applyBorder="1"/>
    <xf numFmtId="169" fontId="0" fillId="5" borderId="1" xfId="1" applyNumberFormat="1" applyFont="1" applyFill="1" applyBorder="1"/>
    <xf numFmtId="0" fontId="0" fillId="5" borderId="1" xfId="0" applyFill="1" applyBorder="1" applyAlignment="1">
      <alignment horizontal="center"/>
    </xf>
    <xf numFmtId="0" fontId="0" fillId="5" borderId="1" xfId="0" applyFill="1" applyBorder="1" applyAlignment="1">
      <alignment wrapText="1"/>
    </xf>
    <xf numFmtId="168" fontId="12" fillId="5" borderId="1" xfId="0" applyNumberFormat="1" applyFont="1" applyFill="1" applyBorder="1" applyAlignment="1">
      <alignment horizontal="right"/>
    </xf>
    <xf numFmtId="172" fontId="8" fillId="0" borderId="0" xfId="0" applyNumberFormat="1" applyFont="1"/>
    <xf numFmtId="173" fontId="8" fillId="0" borderId="0" xfId="0" applyNumberFormat="1" applyFont="1"/>
    <xf numFmtId="10" fontId="8" fillId="0" borderId="0" xfId="0" applyNumberFormat="1" applyFont="1"/>
    <xf numFmtId="174" fontId="8" fillId="0" borderId="1" xfId="0" applyNumberFormat="1" applyFont="1" applyBorder="1"/>
    <xf numFmtId="173" fontId="8" fillId="0" borderId="1" xfId="0" applyNumberFormat="1" applyFont="1" applyBorder="1"/>
    <xf numFmtId="9" fontId="8" fillId="0" borderId="1" xfId="0" applyNumberFormat="1" applyFont="1" applyBorder="1"/>
    <xf numFmtId="0" fontId="0" fillId="8" borderId="0" xfId="0" applyFill="1"/>
    <xf numFmtId="169" fontId="0" fillId="0" borderId="0" xfId="1" applyNumberFormat="1" applyFont="1" applyFill="1"/>
    <xf numFmtId="169" fontId="1" fillId="0" borderId="1" xfId="1" applyNumberFormat="1" applyFont="1" applyFill="1" applyBorder="1" applyAlignment="1">
      <alignment horizontal="center" wrapText="1"/>
    </xf>
    <xf numFmtId="171" fontId="3" fillId="0" borderId="11" xfId="0" applyNumberFormat="1" applyFont="1" applyBorder="1"/>
    <xf numFmtId="169" fontId="3" fillId="0" borderId="12" xfId="1" applyNumberFormat="1" applyFont="1" applyBorder="1" applyAlignment="1"/>
    <xf numFmtId="171" fontId="3" fillId="0" borderId="13" xfId="0" applyNumberFormat="1" applyFont="1" applyBorder="1"/>
    <xf numFmtId="169" fontId="0" fillId="0" borderId="0" xfId="0" applyNumberFormat="1"/>
    <xf numFmtId="167" fontId="0" fillId="0" borderId="0" xfId="0" applyNumberFormat="1"/>
    <xf numFmtId="169" fontId="0" fillId="0" borderId="1" xfId="0" applyNumberFormat="1" applyBorder="1"/>
    <xf numFmtId="0" fontId="11" fillId="5" borderId="1" xfId="0" applyFont="1" applyFill="1" applyBorder="1" applyAlignment="1">
      <alignment wrapText="1"/>
    </xf>
    <xf numFmtId="180" fontId="0" fillId="7" borderId="0" xfId="0" applyNumberFormat="1" applyFill="1"/>
    <xf numFmtId="0" fontId="12" fillId="5" borderId="1" xfId="0" applyFont="1" applyFill="1" applyBorder="1"/>
    <xf numFmtId="169" fontId="0" fillId="0" borderId="1" xfId="1" applyNumberFormat="1" applyFont="1" applyBorder="1" applyAlignment="1"/>
    <xf numFmtId="168" fontId="0" fillId="0" borderId="0" xfId="0" applyNumberFormat="1"/>
    <xf numFmtId="0" fontId="0" fillId="0" borderId="1" xfId="0" applyBorder="1" applyAlignment="1">
      <alignment horizontal="left"/>
    </xf>
    <xf numFmtId="14" fontId="0" fillId="0" borderId="1" xfId="0" applyNumberFormat="1" applyBorder="1" applyAlignment="1">
      <alignment horizontal="left"/>
    </xf>
    <xf numFmtId="169" fontId="0" fillId="0" borderId="1" xfId="1" applyNumberFormat="1" applyFont="1" applyFill="1" applyBorder="1" applyAlignment="1">
      <alignment horizontal="left"/>
    </xf>
    <xf numFmtId="10" fontId="0" fillId="0" borderId="1" xfId="2" applyNumberFormat="1" applyFont="1" applyFill="1" applyBorder="1" applyAlignment="1">
      <alignment horizontal="left"/>
    </xf>
    <xf numFmtId="14" fontId="0" fillId="0" borderId="1" xfId="0" applyNumberFormat="1" applyBorder="1" applyAlignment="1">
      <alignment horizontal="right"/>
    </xf>
    <xf numFmtId="43" fontId="0" fillId="0" borderId="1" xfId="4" applyFont="1" applyFill="1" applyBorder="1"/>
    <xf numFmtId="0" fontId="0" fillId="0" borderId="1" xfId="0" applyBorder="1" applyAlignment="1">
      <alignment vertical="center" wrapText="1"/>
    </xf>
    <xf numFmtId="174" fontId="0" fillId="0" borderId="1" xfId="4" applyNumberFormat="1" applyFont="1" applyFill="1" applyBorder="1"/>
    <xf numFmtId="1" fontId="0" fillId="0" borderId="1" xfId="0" applyNumberFormat="1" applyBorder="1" applyAlignment="1">
      <alignment horizontal="right"/>
    </xf>
    <xf numFmtId="0" fontId="0" fillId="4" borderId="1" xfId="0" applyFill="1" applyBorder="1" applyAlignment="1">
      <alignment horizontal="right"/>
    </xf>
    <xf numFmtId="0" fontId="15" fillId="3" borderId="1" xfId="3" applyFont="1" applyFill="1" applyBorder="1" applyAlignment="1">
      <alignment horizontal="center" vertical="center" wrapText="1"/>
    </xf>
    <xf numFmtId="1" fontId="15" fillId="3" borderId="1" xfId="3" applyNumberFormat="1" applyFont="1" applyFill="1" applyBorder="1" applyAlignment="1">
      <alignment horizontal="center" vertical="center" wrapText="1"/>
    </xf>
    <xf numFmtId="167" fontId="15" fillId="3" borderId="1" xfId="3" applyNumberFormat="1" applyFont="1" applyFill="1" applyBorder="1" applyAlignment="1">
      <alignment horizontal="center" vertical="center" wrapText="1"/>
    </xf>
    <xf numFmtId="169" fontId="15" fillId="3" borderId="1" xfId="1" applyNumberFormat="1" applyFont="1" applyFill="1" applyBorder="1" applyAlignment="1">
      <alignment horizontal="center" vertical="center" wrapText="1"/>
    </xf>
    <xf numFmtId="10" fontId="15" fillId="3" borderId="1" xfId="3" applyNumberFormat="1" applyFont="1" applyFill="1" applyBorder="1" applyAlignment="1">
      <alignment horizontal="center" vertical="center" wrapText="1"/>
    </xf>
    <xf numFmtId="168" fontId="15" fillId="3" borderId="1" xfId="3" applyNumberFormat="1" applyFont="1" applyFill="1" applyBorder="1" applyAlignment="1">
      <alignment horizontal="center" vertical="center" wrapText="1"/>
    </xf>
    <xf numFmtId="179" fontId="3" fillId="4" borderId="1" xfId="3" applyNumberFormat="1" applyFont="1" applyFill="1" applyBorder="1" applyAlignment="1">
      <alignment horizontal="center" vertical="center" wrapText="1"/>
    </xf>
    <xf numFmtId="10" fontId="3" fillId="4" borderId="1" xfId="3" applyNumberFormat="1" applyFont="1" applyFill="1" applyBorder="1" applyAlignment="1">
      <alignment horizontal="center" vertical="center" wrapText="1"/>
    </xf>
    <xf numFmtId="168" fontId="3" fillId="4" borderId="1" xfId="3" applyNumberFormat="1" applyFont="1" applyFill="1" applyBorder="1" applyAlignment="1">
      <alignment horizontal="center" vertical="center" wrapText="1"/>
    </xf>
    <xf numFmtId="10" fontId="3" fillId="4" borderId="1" xfId="3" applyNumberFormat="1" applyFont="1" applyFill="1" applyBorder="1" applyAlignment="1">
      <alignment horizontal="center" wrapText="1"/>
    </xf>
    <xf numFmtId="10" fontId="3" fillId="4" borderId="1" xfId="3" applyNumberFormat="1" applyFont="1" applyFill="1" applyBorder="1" applyAlignment="1">
      <alignment horizontal="center"/>
    </xf>
    <xf numFmtId="167" fontId="3" fillId="4" borderId="1" xfId="3" applyNumberFormat="1" applyFont="1" applyFill="1" applyBorder="1" applyAlignment="1">
      <alignment horizontal="center" vertical="center" wrapText="1"/>
    </xf>
    <xf numFmtId="0" fontId="9" fillId="0" borderId="6" xfId="0" applyFont="1" applyBorder="1"/>
    <xf numFmtId="166" fontId="8" fillId="0" borderId="1" xfId="0" applyNumberFormat="1" applyFont="1" applyBorder="1"/>
    <xf numFmtId="0" fontId="8" fillId="0" borderId="1" xfId="0" applyFont="1" applyBorder="1" applyAlignment="1">
      <alignment wrapText="1"/>
    </xf>
    <xf numFmtId="10" fontId="8" fillId="0" borderId="6" xfId="0" applyNumberFormat="1" applyFont="1" applyBorder="1"/>
    <xf numFmtId="166" fontId="8" fillId="0" borderId="6" xfId="0" applyNumberFormat="1" applyFont="1" applyBorder="1"/>
    <xf numFmtId="0" fontId="8" fillId="0" borderId="6" xfId="0" applyFont="1" applyBorder="1"/>
    <xf numFmtId="0" fontId="8" fillId="0" borderId="7" xfId="0" applyFont="1" applyBorder="1"/>
    <xf numFmtId="0" fontId="8" fillId="0" borderId="8" xfId="0" applyFont="1" applyBorder="1"/>
    <xf numFmtId="0" fontId="8" fillId="0" borderId="5" xfId="0" applyFont="1" applyBorder="1"/>
    <xf numFmtId="170" fontId="8" fillId="9" borderId="1" xfId="0" applyNumberFormat="1" applyFont="1" applyFill="1" applyBorder="1"/>
    <xf numFmtId="174" fontId="8" fillId="0" borderId="1" xfId="4" applyNumberFormat="1" applyFont="1" applyFill="1" applyBorder="1"/>
    <xf numFmtId="175" fontId="8" fillId="0" borderId="5" xfId="0" applyNumberFormat="1" applyFont="1" applyBorder="1"/>
    <xf numFmtId="173" fontId="8" fillId="0" borderId="1" xfId="1" applyNumberFormat="1" applyFont="1" applyFill="1" applyBorder="1"/>
    <xf numFmtId="173" fontId="8" fillId="0" borderId="5" xfId="1" applyNumberFormat="1" applyFont="1" applyFill="1" applyBorder="1"/>
    <xf numFmtId="173" fontId="8" fillId="0" borderId="5" xfId="0" applyNumberFormat="1" applyFont="1" applyBorder="1"/>
    <xf numFmtId="173" fontId="13" fillId="0" borderId="1" xfId="1" applyNumberFormat="1" applyFont="1" applyFill="1" applyBorder="1"/>
    <xf numFmtId="173" fontId="13" fillId="0" borderId="5" xfId="1" applyNumberFormat="1" applyFont="1" applyFill="1" applyBorder="1"/>
    <xf numFmtId="164" fontId="8" fillId="0" borderId="1" xfId="1" applyFont="1" applyFill="1" applyBorder="1"/>
    <xf numFmtId="175" fontId="8" fillId="0" borderId="1" xfId="0" applyNumberFormat="1" applyFont="1" applyBorder="1"/>
    <xf numFmtId="172" fontId="8" fillId="0" borderId="1" xfId="1" applyNumberFormat="1" applyFont="1" applyFill="1" applyBorder="1"/>
    <xf numFmtId="176" fontId="8" fillId="0" borderId="0" xfId="0" applyNumberFormat="1" applyFont="1"/>
    <xf numFmtId="1" fontId="8" fillId="0" borderId="1" xfId="0" applyNumberFormat="1" applyFont="1" applyBorder="1"/>
    <xf numFmtId="177" fontId="8" fillId="0" borderId="1" xfId="0" applyNumberFormat="1" applyFont="1" applyBorder="1"/>
    <xf numFmtId="168" fontId="8" fillId="0" borderId="1" xfId="0" applyNumberFormat="1" applyFont="1" applyBorder="1"/>
    <xf numFmtId="0" fontId="7" fillId="4" borderId="2" xfId="0" applyFont="1" applyFill="1" applyBorder="1" applyAlignment="1">
      <alignment horizontal="center"/>
    </xf>
    <xf numFmtId="14" fontId="7" fillId="4" borderId="0" xfId="0" applyNumberFormat="1" applyFont="1" applyFill="1"/>
    <xf numFmtId="0" fontId="7" fillId="4" borderId="4" xfId="0" applyFont="1" applyFill="1" applyBorder="1" applyAlignment="1">
      <alignment horizontal="center"/>
    </xf>
    <xf numFmtId="0" fontId="7" fillId="4" borderId="3" xfId="0" applyFont="1" applyFill="1" applyBorder="1" applyAlignment="1">
      <alignment horizontal="center"/>
    </xf>
    <xf numFmtId="0" fontId="7" fillId="4" borderId="1" xfId="0" applyFont="1" applyFill="1" applyBorder="1" applyAlignment="1">
      <alignment wrapText="1"/>
    </xf>
    <xf numFmtId="0" fontId="6" fillId="4" borderId="1" xfId="3" applyFont="1" applyFill="1" applyBorder="1" applyAlignment="1">
      <alignment horizontal="center" vertical="center" wrapText="1"/>
    </xf>
    <xf numFmtId="1" fontId="7" fillId="4" borderId="1" xfId="3" applyNumberFormat="1" applyFont="1" applyFill="1" applyBorder="1" applyAlignment="1">
      <alignment horizontal="center" vertical="center" wrapText="1"/>
    </xf>
    <xf numFmtId="0" fontId="12" fillId="0" borderId="1" xfId="0" applyFont="1" applyBorder="1"/>
    <xf numFmtId="165" fontId="4" fillId="0" borderId="0" xfId="0" applyNumberFormat="1" applyFont="1" applyAlignment="1">
      <alignment horizontal="left" vertical="top"/>
    </xf>
    <xf numFmtId="0" fontId="4" fillId="0" borderId="0" xfId="0" applyFont="1" applyAlignment="1">
      <alignment horizontal="left" vertical="top"/>
    </xf>
    <xf numFmtId="165" fontId="14" fillId="0" borderId="0" xfId="0" applyNumberFormat="1" applyFont="1" applyAlignment="1">
      <alignment horizontal="left" vertical="top"/>
    </xf>
    <xf numFmtId="0" fontId="7" fillId="5" borderId="0" xfId="0" applyFont="1" applyFill="1" applyAlignment="1">
      <alignment horizontal="center" wrapText="1"/>
    </xf>
  </cellXfs>
  <cellStyles count="5">
    <cellStyle name="Millares" xfId="4" builtinId="3"/>
    <cellStyle name="Moneda" xfId="1" builtinId="4"/>
    <cellStyle name="Normal" xfId="0" builtinId="0"/>
    <cellStyle name="Porcentaje" xfId="2" builtinId="5"/>
    <cellStyle name="Titulo" xfId="3" xr:uid="{2BBD5066-6540-4E90-B5E5-B47739F251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calcChain" Target="calcChain.xml"/><Relationship Id="rId10" Type="http://schemas.openxmlformats.org/officeDocument/2006/relationships/externalLink" Target="externalLinks/externalLink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CONSOLIDADOS%20KALA%204/INFORME%20KALA%204%20PRESENTAR%2022%20DE%20ABRIL%20A%20CORTE%2016%20DE%20ABRIL%20DE%202026.xlsx" TargetMode="External"/><Relationship Id="rId2" Type="http://schemas.openxmlformats.org/officeDocument/2006/relationships/externalLinkPath" Target="https://aedcartagena-my.sharepoint.com/personal/acastellon_aed_com_co/Documents/Escritorio/CONSOLIDADOS%20TRABAJADOS/CONSOLIDADOS%20KALA%204/INFORME%20KALA%204%20PRESENTAR%2022%20DE%20ABRIL%20A%20CORTE%2016%20DE%20ABRIL%20DE%202026.xlsx" TargetMode="External"/><Relationship Id="rId1" Type="http://schemas.openxmlformats.org/officeDocument/2006/relationships/externalLinkPath" Target="/personal/acastellon_aed_com_co/Documents/Escritorio/CONSOLIDADOS%20TRABAJADOS/CONSOLIDADOS%20KALA%204/INFORME%20KALA%204%20PRESENTAR%2022%20DE%20ABRIL%20A%20CORTE%2016%20DE%20ABRIL%20DE%202026.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CONSOLIDADO%2028%20DE%20MAYO%202026%20-%20ETAPA%203%20Y%204/99289-Informe%20Movimientos-20260528.xlsx" TargetMode="External"/><Relationship Id="rId2" Type="http://schemas.openxmlformats.org/officeDocument/2006/relationships/externalLinkPath" Target="https://aedcartagena-my.sharepoint.com/personal/acastellon_aed_com_co/Documents/Escritorio/CONSOLIDADO%2028%20DE%20MAYO%202026%20-%20ETAPA%203%20Y%204/99289-Informe%20Movimientos-20260528.xlsx" TargetMode="External"/><Relationship Id="rId1" Type="http://schemas.openxmlformats.org/officeDocument/2006/relationships/externalLinkPath" Target="/personal/acastellon_aed_com_co/Documents/Escritorio/CONSOLIDADO%2028%20DE%20MAYO%202026%20-%20ETAPA%203%20Y%204/99289-Informe%20Movimientos-20260528.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nicol\OneDrive\Escritorio\INFORMES%20Y%20PARTIDAS\INFORME%20KALA%20G%202%2018JUNIO2026%20CORTE%2024JUNIO2026.xlsx" TargetMode="External"/><Relationship Id="rId1" Type="http://schemas.openxmlformats.org/officeDocument/2006/relationships/externalLinkPath" Target="file:///C:\Users\nicol\OneDrive\Escritorio\INFORMES%20Y%20PARTIDAS\INFORME%20KALA%20G%202%2018JUNIO2026%20CORTE%2024JUNIO2026.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nicol\OneDrive\Escritorio\INFORMES%20Y%20PARTIDAS\INFORME%20KALIZA%201%2024JUNIO2026%20CORTE%2018junio2026.xlsx" TargetMode="External"/><Relationship Id="rId1" Type="http://schemas.openxmlformats.org/officeDocument/2006/relationships/externalLinkPath" Target="file:///C:\Users\nicol\OneDrive\Escritorio\INFORMES%20Y%20PARTIDAS\INFORME%20KALIZA%201%2024JUNIO2026%20CORTE%2018junio2026.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nicol\OneDrive\Escritorio\INFORMES%20Y%20PARTIDAS\INFORME%20KALIZA%202%2018JUNIO2026%20CORTE%2024JUNIO2026.xlsx" TargetMode="External"/><Relationship Id="rId1" Type="http://schemas.openxmlformats.org/officeDocument/2006/relationships/externalLinkPath" Target="file:///C:\Users\nicol\OneDrive\Escritorio\INFORMES%20Y%20PARTIDAS\INFORME%20KALIZA%202%2018JUNIO2026%20CORTE%2024JUNIO2026.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nicol\OneDrive\Escritorio\INFORMES%20Y%20PARTIDAS\INFORME%20KALA%20G%203%2018UNIO2026%20CORTE%2024JUNO2026%20-%20copia.xlsx" TargetMode="External"/><Relationship Id="rId1" Type="http://schemas.openxmlformats.org/officeDocument/2006/relationships/externalLinkPath" Target="file:///C:\Users\nicol\OneDrive\Escritorio\INFORMES%20Y%20PARTIDAS\INFORME%20KALA%20G%203%2018UNIO2026%20CORTE%2024JUNO2026%20-%20copia.xlsx" TargetMode="External"/></Relationships>
</file>

<file path=xl/externalLinks/_rels/externalLink7.xml.rels><?xml version="1.0" encoding="UTF-8" standalone="yes"?>
<Relationships xmlns="http://schemas.openxmlformats.org/package/2006/relationships"><Relationship Id="rId3" Type="http://schemas.openxmlformats.org/officeDocument/2006/relationships/externalLinkPath" Target="../../../INFORME%20KALIZA%201%2003JUNIO2026%20CORTE%2028MAYO2026%20-%20copia.xlsx" TargetMode="External"/><Relationship Id="rId2" Type="http://schemas.openxmlformats.org/officeDocument/2006/relationships/externalLinkPath" Target="https://aedcartagena-my.sharepoint.com/personal/acastellon_aed_com_co/Documents/Escritorio/INFORME%20KALIZA%201%2003JUNIO2026%20CORTE%2028MAYO2026%20-%20copia.xlsx" TargetMode="External"/><Relationship Id="rId1" Type="http://schemas.openxmlformats.org/officeDocument/2006/relationships/externalLinkPath" Target="/personal/acastellon_aed_com_co/Documents/Escritorio/INFORME%20KALIZA%201%2003JUNIO2026%20CORTE%2028MAYO2026%20-%20copia.xlsx" TargetMode="External"/></Relationships>
</file>

<file path=xl/externalLinks/_rels/externalLink8.xml.rels><?xml version="1.0" encoding="UTF-8" standalone="yes"?>
<Relationships xmlns="http://schemas.openxmlformats.org/package/2006/relationships"><Relationship Id="rId3" Type="http://schemas.openxmlformats.org/officeDocument/2006/relationships/externalLinkPath" Target="../../../INFORME%20KALA%20G%202%2003JUNIO2026%20CORTE%2028MAYO2026.xlsx" TargetMode="External"/><Relationship Id="rId2" Type="http://schemas.openxmlformats.org/officeDocument/2006/relationships/externalLinkPath" Target="https://aedcartagena-my.sharepoint.com/personal/acastellon_aed_com_co/Documents/Escritorio/INFORME%20KALA%20G%202%2003JUNIO2026%20CORTE%2028MAYO2026.xlsx" TargetMode="External"/><Relationship Id="rId1" Type="http://schemas.openxmlformats.org/officeDocument/2006/relationships/externalLinkPath" Target="/personal/acastellon_aed_com_co/Documents/Escritorio/INFORME%20KALA%20G%202%2003JUNIO2026%20CORTE%2028MAYO2026.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C:\Users\USER\Downloads\ETAPA%203%20Y%204%20PRESENTAR%2001%20DE%20ABRIL%20A%20CORTE%2026%20DE%20MARZO%20DE%202026%20(5).xlsx" TargetMode="External"/><Relationship Id="rId1" Type="http://schemas.openxmlformats.org/officeDocument/2006/relationships/externalLinkPath" Target="file:///C:\Users\USER\Downloads\ETAPA%203%20Y%204%20PRESENTAR%2001%20DE%20ABRIL%20A%20CORTE%2026%20DE%20MARZO%20DE%202026%2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KALA T4"/>
      <sheetName val="Cartera KALA T4"/>
      <sheetName val="Resumen"/>
    </sheetNames>
    <sheetDataSet>
      <sheetData sheetId="0"/>
      <sheetData sheetId="1">
        <row r="34">
          <cell r="H34">
            <v>68</v>
          </cell>
        </row>
      </sheetData>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sumen"/>
      <sheetName val="KALA 4"/>
      <sheetName val="Movimientos"/>
      <sheetName val="Mov_Por_Propietario"/>
    </sheetNames>
    <sheetDataSet>
      <sheetData sheetId="0"/>
      <sheetData sheetId="1">
        <row r="193">
          <cell r="N193">
            <v>201691281</v>
          </cell>
          <cell r="P193">
            <v>11791104433.66</v>
          </cell>
          <cell r="S193">
            <v>155269854</v>
          </cell>
        </row>
      </sheetData>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ALIZA T2"/>
      <sheetName val="KALIZA T3"/>
      <sheetName val="KALA T3"/>
      <sheetName val="KALA2"/>
      <sheetName val="CARTERA KALA GOLF 2"/>
      <sheetName val="RESUMEN"/>
    </sheetNames>
    <sheetDataSet>
      <sheetData sheetId="0"/>
      <sheetData sheetId="1"/>
      <sheetData sheetId="2"/>
      <sheetData sheetId="3">
        <row r="16">
          <cell r="R16">
            <v>17592844</v>
          </cell>
        </row>
        <row r="70">
          <cell r="C70">
            <v>67</v>
          </cell>
          <cell r="L70">
            <v>71057486</v>
          </cell>
          <cell r="M70">
            <v>55827744</v>
          </cell>
          <cell r="N70">
            <v>14460888408.41</v>
          </cell>
        </row>
      </sheetData>
      <sheetData sheetId="4"/>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ALIZA T2"/>
      <sheetName val="KALIZA T3"/>
      <sheetName val="KALA T3"/>
      <sheetName val="Hoja2"/>
      <sheetName val="CARTERA KALIZA 1"/>
      <sheetName val="RESUMEN"/>
    </sheetNames>
    <sheetDataSet>
      <sheetData sheetId="0"/>
      <sheetData sheetId="1"/>
      <sheetData sheetId="2"/>
      <sheetData sheetId="3">
        <row r="87">
          <cell r="B87">
            <v>84</v>
          </cell>
          <cell r="L87">
            <v>76024696</v>
          </cell>
          <cell r="N87">
            <v>165558003</v>
          </cell>
          <cell r="P87">
            <v>15162372265.199999</v>
          </cell>
        </row>
      </sheetData>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ALIZA T2"/>
      <sheetName val="KALIZA T3"/>
      <sheetName val="KALA T3"/>
      <sheetName val="Hoja1"/>
      <sheetName val="CARTERA KALIZA 2"/>
      <sheetName val="RESUMEN"/>
    </sheetNames>
    <sheetDataSet>
      <sheetData sheetId="0"/>
      <sheetData sheetId="1"/>
      <sheetData sheetId="2"/>
      <sheetData sheetId="3">
        <row r="20">
          <cell r="O20">
            <v>2000000</v>
          </cell>
        </row>
        <row r="21">
          <cell r="O21">
            <v>1328800</v>
          </cell>
        </row>
        <row r="88">
          <cell r="B88">
            <v>85</v>
          </cell>
          <cell r="K88">
            <v>16137079987.030001</v>
          </cell>
        </row>
      </sheetData>
      <sheetData sheetId="4"/>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ALIZA T2"/>
      <sheetName val="KALIZA T3"/>
      <sheetName val="KALA T3"/>
      <sheetName val="Hoja1"/>
      <sheetName val="CARTERA KALA GOLF 3"/>
      <sheetName val="RESUMEN"/>
    </sheetNames>
    <sheetDataSet>
      <sheetData sheetId="0"/>
      <sheetData sheetId="1"/>
      <sheetData sheetId="2"/>
      <sheetData sheetId="3">
        <row r="19">
          <cell r="Q19">
            <v>3775000</v>
          </cell>
        </row>
        <row r="20">
          <cell r="Q20">
            <v>5940000</v>
          </cell>
        </row>
        <row r="21">
          <cell r="Q21">
            <v>2415000</v>
          </cell>
        </row>
        <row r="22">
          <cell r="Q22">
            <v>1570000</v>
          </cell>
        </row>
        <row r="23">
          <cell r="Q23">
            <v>478000</v>
          </cell>
        </row>
        <row r="60">
          <cell r="B60">
            <v>57</v>
          </cell>
          <cell r="K60">
            <v>119979515</v>
          </cell>
          <cell r="M60">
            <v>143733631</v>
          </cell>
          <cell r="N60">
            <v>11465135897.940001</v>
          </cell>
        </row>
      </sheetData>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KALIZA T2"/>
      <sheetName val="KALIZA T3"/>
      <sheetName val="KALA T3"/>
      <sheetName val="KALIZA 1"/>
      <sheetName val="CARTERA KALIZA 1"/>
      <sheetName val="RESUMEN"/>
      <sheetName val="Hoja1"/>
    </sheetNames>
    <sheetDataSet>
      <sheetData sheetId="0"/>
      <sheetData sheetId="1"/>
      <sheetData sheetId="2"/>
      <sheetData sheetId="3">
        <row r="19">
          <cell r="R19">
            <v>0</v>
          </cell>
        </row>
      </sheetData>
      <sheetData sheetId="4"/>
      <sheetData sheetId="5">
        <row r="5">
          <cell r="C5">
            <v>40609305510</v>
          </cell>
        </row>
        <row r="10">
          <cell r="C10">
            <v>0.99178961615433714</v>
          </cell>
        </row>
      </sheetData>
      <sheetData sheetId="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KALIZA T2"/>
      <sheetName val="KALIZA T3"/>
      <sheetName val="KALA T3"/>
      <sheetName val="KALA 2"/>
      <sheetName val="Hoja2"/>
      <sheetName val="CARTERA KALA GOLF 2"/>
      <sheetName val="RESUMEN"/>
    </sheetNames>
    <sheetDataSet>
      <sheetData sheetId="0"/>
      <sheetData sheetId="1"/>
      <sheetData sheetId="2"/>
      <sheetData sheetId="3">
        <row r="19">
          <cell r="R19">
            <v>862200</v>
          </cell>
        </row>
      </sheetData>
      <sheetData sheetId="4"/>
      <sheetData sheetId="5"/>
      <sheetData sheetId="6">
        <row r="5">
          <cell r="C5">
            <v>43758618424</v>
          </cell>
        </row>
        <row r="10">
          <cell r="C10">
            <v>0.88987039172969296</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rtera Kala T1"/>
      <sheetName val="Cartera Kala 4"/>
      <sheetName val="Cartera Kaliza 3"/>
      <sheetName val="Cartera Vela "/>
      <sheetName val="Cartera Kaliza 1 "/>
      <sheetName val="Cartera Kaliza T2"/>
      <sheetName val="Cartera Kala T2"/>
      <sheetName val="Cartera Kala T3"/>
      <sheetName val="RESUMEN"/>
      <sheetName val="Cartera IL"/>
      <sheetName val="CARTERA TP"/>
      <sheetName val="RESUMEN IL Y TP "/>
    </sheetNames>
    <sheetDataSet>
      <sheetData sheetId="0">
        <row r="30">
          <cell r="I30">
            <v>9</v>
          </cell>
        </row>
        <row r="42">
          <cell r="I42"/>
        </row>
        <row r="43">
          <cell r="I43">
            <v>0</v>
          </cell>
        </row>
      </sheetData>
      <sheetData sheetId="1">
        <row r="34">
          <cell r="H34">
            <v>26</v>
          </cell>
        </row>
        <row r="46">
          <cell r="H46"/>
        </row>
      </sheetData>
      <sheetData sheetId="2">
        <row r="30">
          <cell r="H30">
            <v>11</v>
          </cell>
        </row>
      </sheetData>
      <sheetData sheetId="3"/>
      <sheetData sheetId="4">
        <row r="28">
          <cell r="H28">
            <v>0</v>
          </cell>
        </row>
        <row r="42">
          <cell r="H42">
            <v>0</v>
          </cell>
        </row>
      </sheetData>
      <sheetData sheetId="5">
        <row r="32">
          <cell r="G32">
            <v>1</v>
          </cell>
        </row>
        <row r="46">
          <cell r="G46">
            <v>0</v>
          </cell>
        </row>
      </sheetData>
      <sheetData sheetId="6">
        <row r="31">
          <cell r="G31">
            <v>3</v>
          </cell>
        </row>
      </sheetData>
      <sheetData sheetId="7">
        <row r="33">
          <cell r="G33">
            <v>9</v>
          </cell>
        </row>
        <row r="45">
          <cell r="G45">
            <v>0</v>
          </cell>
        </row>
        <row r="46">
          <cell r="G46">
            <v>0</v>
          </cell>
        </row>
        <row r="47">
          <cell r="G47">
            <v>0</v>
          </cell>
        </row>
      </sheetData>
      <sheetData sheetId="8"/>
      <sheetData sheetId="9"/>
      <sheetData sheetId="10"/>
      <sheetData sheetId="1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B3FAA-97F2-4F80-80A8-6C80A0CF7407}">
  <dimension ref="A1:AT72"/>
  <sheetViews>
    <sheetView tabSelected="1" topLeftCell="A48" zoomScale="82" zoomScaleNormal="82" workbookViewId="0">
      <selection activeCell="P21" sqref="P21"/>
    </sheetView>
  </sheetViews>
  <sheetFormatPr baseColWidth="10" defaultRowHeight="15" x14ac:dyDescent="0.25"/>
  <cols>
    <col min="1" max="1" width="2.7109375" customWidth="1"/>
    <col min="2" max="2" width="6.140625" customWidth="1"/>
    <col min="3" max="3" width="7.42578125" customWidth="1"/>
    <col min="4" max="4" width="10" customWidth="1"/>
    <col min="5" max="5" width="16" bestFit="1" customWidth="1"/>
    <col min="6" max="6" width="44.140625" bestFit="1" customWidth="1"/>
    <col min="7" max="7" width="25" bestFit="1" customWidth="1"/>
    <col min="8" max="8" width="13.140625" bestFit="1" customWidth="1"/>
    <col min="9" max="9" width="26.7109375" bestFit="1" customWidth="1"/>
    <col min="10" max="10" width="18.28515625" bestFit="1" customWidth="1"/>
    <col min="11" max="11" width="24.5703125" bestFit="1" customWidth="1"/>
    <col min="15" max="15" width="22.85546875" bestFit="1" customWidth="1"/>
    <col min="16" max="16" width="49.85546875" customWidth="1"/>
  </cols>
  <sheetData>
    <row r="1" spans="1:46" x14ac:dyDescent="0.25">
      <c r="A1" s="1" t="s">
        <v>0</v>
      </c>
      <c r="J1" s="2" t="s">
        <v>76</v>
      </c>
    </row>
    <row r="2" spans="1:46" x14ac:dyDescent="0.25">
      <c r="A2" s="1" t="s">
        <v>1</v>
      </c>
    </row>
    <row r="3" spans="1:46" x14ac:dyDescent="0.25">
      <c r="A3" s="3"/>
      <c r="B3" s="218" t="s">
        <v>323</v>
      </c>
      <c r="C3" s="218"/>
      <c r="D3" s="219"/>
    </row>
    <row r="5" spans="1:46" ht="15.75" thickBot="1" x14ac:dyDescent="0.3"/>
    <row r="6" spans="1:46" x14ac:dyDescent="0.25">
      <c r="A6" s="1"/>
      <c r="C6" s="4"/>
      <c r="E6" s="5"/>
      <c r="F6" s="53" t="s">
        <v>329</v>
      </c>
      <c r="G6" s="47"/>
      <c r="H6" s="47"/>
      <c r="I6" s="47"/>
      <c r="J6" s="47"/>
      <c r="K6" s="48"/>
      <c r="L6" s="47"/>
      <c r="M6" s="49"/>
      <c r="N6" s="47"/>
      <c r="O6" s="153">
        <f>O23</f>
        <v>2500000</v>
      </c>
    </row>
    <row r="7" spans="1:46" x14ac:dyDescent="0.25">
      <c r="A7" s="1"/>
      <c r="C7" s="4"/>
      <c r="E7" s="5"/>
      <c r="F7" s="54" t="s">
        <v>231</v>
      </c>
      <c r="K7" s="6"/>
      <c r="M7" s="4"/>
      <c r="O7" s="154">
        <f>O40+O20</f>
        <v>24544162</v>
      </c>
    </row>
    <row r="8" spans="1:46" x14ac:dyDescent="0.25">
      <c r="A8" s="1"/>
      <c r="C8" s="4"/>
      <c r="E8" s="5"/>
      <c r="F8" s="54" t="s">
        <v>330</v>
      </c>
      <c r="K8" s="6"/>
      <c r="M8" s="4"/>
      <c r="O8" s="154">
        <f>O17+O36</f>
        <v>6271268</v>
      </c>
    </row>
    <row r="9" spans="1:46" ht="15.75" thickBot="1" x14ac:dyDescent="0.3">
      <c r="A9" s="1"/>
      <c r="C9" s="4"/>
      <c r="E9" s="5"/>
      <c r="F9" s="55" t="s">
        <v>144</v>
      </c>
      <c r="G9" s="50"/>
      <c r="H9" s="50"/>
      <c r="I9" s="50"/>
      <c r="J9" s="50"/>
      <c r="K9" s="51"/>
      <c r="L9" s="50"/>
      <c r="M9" s="52"/>
      <c r="N9" s="50"/>
      <c r="O9" s="155">
        <f>O13+O32</f>
        <v>23455024</v>
      </c>
    </row>
    <row r="10" spans="1:46" x14ac:dyDescent="0.25">
      <c r="A10" s="1"/>
      <c r="C10" s="4"/>
      <c r="E10" s="5"/>
    </row>
    <row r="11" spans="1:46" x14ac:dyDescent="0.25">
      <c r="A11" s="1" t="s">
        <v>2</v>
      </c>
      <c r="C11" s="4"/>
      <c r="E11" s="5"/>
      <c r="K11" s="6"/>
      <c r="M11" s="4"/>
      <c r="O11" s="6"/>
    </row>
    <row r="12" spans="1:46" ht="108" x14ac:dyDescent="0.25">
      <c r="A12" s="7" t="s">
        <v>3</v>
      </c>
      <c r="B12" s="7" t="s">
        <v>4</v>
      </c>
      <c r="C12" s="7" t="s">
        <v>5</v>
      </c>
      <c r="D12" s="7" t="s">
        <v>6</v>
      </c>
      <c r="E12" s="10" t="s">
        <v>7</v>
      </c>
      <c r="F12" s="7" t="s">
        <v>8</v>
      </c>
      <c r="G12" s="9" t="s">
        <v>9</v>
      </c>
      <c r="H12" s="9" t="s">
        <v>18</v>
      </c>
      <c r="I12" s="8" t="s">
        <v>10</v>
      </c>
      <c r="J12" s="8" t="s">
        <v>11</v>
      </c>
      <c r="K12" s="12" t="s">
        <v>12</v>
      </c>
      <c r="L12" s="11" t="s">
        <v>13</v>
      </c>
      <c r="M12" s="8" t="s">
        <v>14</v>
      </c>
      <c r="N12" s="8" t="s">
        <v>15</v>
      </c>
      <c r="O12" s="12" t="s">
        <v>16</v>
      </c>
      <c r="P12" s="8" t="s">
        <v>17</v>
      </c>
    </row>
    <row r="13" spans="1:46" x14ac:dyDescent="0.25">
      <c r="A13" s="13"/>
      <c r="B13" s="56"/>
      <c r="C13" s="56"/>
      <c r="D13" s="57"/>
      <c r="E13" s="59"/>
      <c r="F13" s="58" t="str">
        <f>F9</f>
        <v>Cartera Mayor de 90 dias (3)</v>
      </c>
      <c r="G13" s="60"/>
      <c r="H13" s="60"/>
      <c r="I13" s="97">
        <f>SUM(I14:I15)</f>
        <v>1338211129</v>
      </c>
      <c r="J13" s="67"/>
      <c r="K13" s="97">
        <f>SUM(K14:K15)</f>
        <v>338303180</v>
      </c>
      <c r="L13" s="70"/>
      <c r="M13" s="61"/>
      <c r="N13" s="61"/>
      <c r="O13" s="97">
        <f>SUM(O14:O15)</f>
        <v>18936624</v>
      </c>
      <c r="P13" s="61"/>
    </row>
    <row r="14" spans="1:46" s="150" customFormat="1" ht="57" customHeight="1" x14ac:dyDescent="0.25">
      <c r="A14" s="13" t="s">
        <v>68</v>
      </c>
      <c r="B14" s="69" t="s">
        <v>72</v>
      </c>
      <c r="C14" s="69" t="s">
        <v>222</v>
      </c>
      <c r="D14" s="69">
        <v>89.85</v>
      </c>
      <c r="E14" s="66" t="s">
        <v>223</v>
      </c>
      <c r="F14" s="13" t="s">
        <v>225</v>
      </c>
      <c r="G14" s="75">
        <v>45412</v>
      </c>
      <c r="H14" s="75">
        <v>46367</v>
      </c>
      <c r="I14" s="82">
        <v>846341129</v>
      </c>
      <c r="J14" s="82">
        <f t="shared" ref="J14:J25" si="0">I14/D14</f>
        <v>9419489.4713411238</v>
      </c>
      <c r="K14" s="82">
        <v>214894066</v>
      </c>
      <c r="L14" s="26">
        <f t="shared" ref="L14" si="1">K14/I14</f>
        <v>0.2539095154856878</v>
      </c>
      <c r="M14" s="13">
        <v>4</v>
      </c>
      <c r="N14" s="13">
        <v>101</v>
      </c>
      <c r="O14" s="82">
        <v>11420000</v>
      </c>
      <c r="P14" s="83" t="s">
        <v>325</v>
      </c>
      <c r="Q14"/>
      <c r="R14"/>
      <c r="S14"/>
      <c r="T14"/>
      <c r="U14"/>
      <c r="V14"/>
      <c r="W14"/>
      <c r="X14"/>
      <c r="Y14"/>
      <c r="Z14"/>
      <c r="AA14"/>
      <c r="AB14"/>
      <c r="AC14"/>
      <c r="AD14"/>
      <c r="AE14"/>
      <c r="AF14"/>
      <c r="AG14"/>
      <c r="AH14"/>
      <c r="AI14"/>
      <c r="AJ14"/>
      <c r="AK14"/>
      <c r="AL14"/>
      <c r="AM14"/>
      <c r="AN14"/>
      <c r="AO14"/>
      <c r="AP14"/>
      <c r="AQ14"/>
      <c r="AR14"/>
      <c r="AS14"/>
      <c r="AT14"/>
    </row>
    <row r="15" spans="1:46" s="150" customFormat="1" ht="30" x14ac:dyDescent="0.25">
      <c r="A15" s="13" t="s">
        <v>68</v>
      </c>
      <c r="B15" s="69" t="s">
        <v>70</v>
      </c>
      <c r="C15" s="69" t="s">
        <v>220</v>
      </c>
      <c r="D15" s="69">
        <v>48.7</v>
      </c>
      <c r="E15" s="66" t="s">
        <v>221</v>
      </c>
      <c r="F15" s="13" t="s">
        <v>224</v>
      </c>
      <c r="G15" s="75">
        <v>45316</v>
      </c>
      <c r="H15" s="75">
        <v>46266</v>
      </c>
      <c r="I15" s="82">
        <v>491870000</v>
      </c>
      <c r="J15" s="82">
        <f t="shared" si="0"/>
        <v>10100000</v>
      </c>
      <c r="K15" s="82">
        <v>123409114</v>
      </c>
      <c r="L15" s="26">
        <f t="shared" ref="L15:L25" si="2">K15/I15</f>
        <v>0.25089782666151628</v>
      </c>
      <c r="M15" s="13">
        <v>4</v>
      </c>
      <c r="N15" s="13">
        <v>108</v>
      </c>
      <c r="O15" s="82">
        <v>7516624</v>
      </c>
      <c r="P15" s="83" t="s">
        <v>326</v>
      </c>
      <c r="Q15"/>
      <c r="R15"/>
      <c r="S15"/>
      <c r="T15"/>
      <c r="U15"/>
      <c r="V15"/>
      <c r="W15"/>
      <c r="X15"/>
      <c r="Y15"/>
      <c r="Z15"/>
      <c r="AA15"/>
      <c r="AB15"/>
      <c r="AC15"/>
      <c r="AD15"/>
      <c r="AE15"/>
      <c r="AF15"/>
      <c r="AG15"/>
      <c r="AH15"/>
      <c r="AI15"/>
      <c r="AJ15"/>
      <c r="AK15"/>
      <c r="AL15"/>
      <c r="AM15"/>
      <c r="AN15"/>
      <c r="AO15"/>
      <c r="AP15"/>
      <c r="AQ15"/>
      <c r="AR15"/>
      <c r="AS15"/>
      <c r="AT15"/>
    </row>
    <row r="16" spans="1:46" s="150" customFormat="1" x14ac:dyDescent="0.25">
      <c r="A16" s="13"/>
      <c r="B16" s="69"/>
      <c r="C16" s="69"/>
      <c r="D16" s="69"/>
      <c r="E16" s="66"/>
      <c r="F16" s="13"/>
      <c r="G16" s="75"/>
      <c r="H16" s="75"/>
      <c r="I16" s="82"/>
      <c r="J16" s="82"/>
      <c r="K16" s="82"/>
      <c r="L16" s="26"/>
      <c r="M16" s="13"/>
      <c r="N16" s="13"/>
      <c r="O16" s="151"/>
      <c r="P16" s="83"/>
      <c r="Q16"/>
      <c r="R16"/>
      <c r="S16"/>
      <c r="T16"/>
      <c r="U16"/>
      <c r="V16"/>
      <c r="W16"/>
      <c r="X16"/>
      <c r="Y16"/>
      <c r="Z16"/>
      <c r="AA16"/>
      <c r="AB16"/>
      <c r="AC16"/>
      <c r="AD16"/>
      <c r="AE16"/>
      <c r="AF16"/>
      <c r="AG16"/>
      <c r="AH16"/>
      <c r="AI16"/>
      <c r="AJ16"/>
      <c r="AK16"/>
      <c r="AL16"/>
      <c r="AM16"/>
      <c r="AN16"/>
      <c r="AO16"/>
      <c r="AP16"/>
      <c r="AQ16"/>
      <c r="AR16"/>
      <c r="AS16"/>
      <c r="AT16"/>
    </row>
    <row r="17" spans="1:16" x14ac:dyDescent="0.25">
      <c r="A17" s="13"/>
      <c r="B17" s="69"/>
      <c r="C17" s="69"/>
      <c r="D17" s="69"/>
      <c r="E17" s="66"/>
      <c r="F17" s="65" t="str">
        <f>F8</f>
        <v>Cartera de 61 a 90 dias (1)</v>
      </c>
      <c r="G17" s="64"/>
      <c r="H17" s="64"/>
      <c r="I17" s="93">
        <f>I18+I19</f>
        <v>0</v>
      </c>
      <c r="J17" s="68"/>
      <c r="K17" s="93">
        <f>K18+K19</f>
        <v>0</v>
      </c>
      <c r="L17" s="70"/>
      <c r="M17" s="64"/>
      <c r="N17" s="64"/>
      <c r="O17" s="93">
        <f>O18+O19</f>
        <v>0</v>
      </c>
      <c r="P17" s="64"/>
    </row>
    <row r="18" spans="1:16" x14ac:dyDescent="0.25">
      <c r="A18" s="13"/>
      <c r="B18" s="69"/>
      <c r="C18" s="69"/>
      <c r="D18" s="69"/>
      <c r="E18" s="66"/>
      <c r="F18" s="13"/>
      <c r="G18" s="75"/>
      <c r="H18" s="75"/>
      <c r="I18" s="20"/>
      <c r="J18" s="20" t="e">
        <f t="shared" si="0"/>
        <v>#DIV/0!</v>
      </c>
      <c r="K18" s="20"/>
      <c r="L18" s="22" t="e">
        <f t="shared" si="2"/>
        <v>#DIV/0!</v>
      </c>
      <c r="M18" s="13"/>
      <c r="N18" s="13"/>
      <c r="O18" s="20"/>
      <c r="P18" s="83"/>
    </row>
    <row r="19" spans="1:16" x14ac:dyDescent="0.25">
      <c r="A19" s="13" t="s">
        <v>68</v>
      </c>
      <c r="B19" s="69" t="s">
        <v>72</v>
      </c>
      <c r="C19" s="69"/>
      <c r="D19" s="69"/>
      <c r="E19" s="66"/>
      <c r="F19" s="13"/>
      <c r="G19" s="75"/>
      <c r="H19" s="75"/>
      <c r="I19" s="20"/>
      <c r="J19" s="20" t="e">
        <f t="shared" si="0"/>
        <v>#DIV/0!</v>
      </c>
      <c r="K19" s="20"/>
      <c r="L19" s="22" t="e">
        <f t="shared" si="2"/>
        <v>#DIV/0!</v>
      </c>
      <c r="M19" s="13"/>
      <c r="N19" s="13"/>
      <c r="O19" s="20"/>
      <c r="P19" s="83"/>
    </row>
    <row r="20" spans="1:16" x14ac:dyDescent="0.25">
      <c r="A20" s="13"/>
      <c r="B20" s="69"/>
      <c r="C20" s="69"/>
      <c r="D20" s="69"/>
      <c r="E20" s="66"/>
      <c r="F20" s="65" t="str">
        <f>F7</f>
        <v>Cartera de 31 a 60 dias (2)</v>
      </c>
      <c r="G20" s="64"/>
      <c r="H20" s="64"/>
      <c r="I20" s="71">
        <f>I21</f>
        <v>996913848</v>
      </c>
      <c r="J20" s="68"/>
      <c r="K20" s="71">
        <f>K21</f>
        <v>248547369</v>
      </c>
      <c r="L20" s="70"/>
      <c r="M20" s="64"/>
      <c r="N20" s="64"/>
      <c r="O20" s="71">
        <f>O21</f>
        <v>21800000</v>
      </c>
      <c r="P20" s="64"/>
    </row>
    <row r="21" spans="1:16" ht="60" x14ac:dyDescent="0.25">
      <c r="A21" s="13" t="s">
        <v>68</v>
      </c>
      <c r="B21" s="69" t="s">
        <v>172</v>
      </c>
      <c r="C21" s="69" t="s">
        <v>208</v>
      </c>
      <c r="D21" s="69">
        <v>114.44</v>
      </c>
      <c r="E21" s="66" t="s">
        <v>209</v>
      </c>
      <c r="F21" s="13" t="s">
        <v>212</v>
      </c>
      <c r="G21" s="75">
        <v>44593</v>
      </c>
      <c r="H21" s="75">
        <v>46265</v>
      </c>
      <c r="I21" s="82">
        <v>996913848</v>
      </c>
      <c r="J21" s="82">
        <f t="shared" si="0"/>
        <v>8711236.0013981126</v>
      </c>
      <c r="K21" s="82">
        <v>248547369</v>
      </c>
      <c r="L21" s="22">
        <f t="shared" si="2"/>
        <v>0.24931679853643682</v>
      </c>
      <c r="M21" s="13">
        <v>2</v>
      </c>
      <c r="N21" s="13">
        <v>48</v>
      </c>
      <c r="O21" s="152">
        <v>21800000</v>
      </c>
      <c r="P21" s="83" t="s">
        <v>327</v>
      </c>
    </row>
    <row r="22" spans="1:16" x14ac:dyDescent="0.25">
      <c r="A22" s="13"/>
      <c r="B22" s="69"/>
      <c r="C22" s="69"/>
      <c r="D22" s="69"/>
      <c r="E22" s="66"/>
      <c r="F22" s="13"/>
      <c r="G22" s="75"/>
      <c r="H22" s="13"/>
      <c r="I22" s="20"/>
      <c r="J22" s="20" t="e">
        <f t="shared" si="0"/>
        <v>#DIV/0!</v>
      </c>
      <c r="K22" s="82"/>
      <c r="L22" s="22" t="e">
        <f t="shared" si="2"/>
        <v>#DIV/0!</v>
      </c>
      <c r="M22" s="13"/>
      <c r="N22" s="13"/>
      <c r="O22" s="94"/>
      <c r="P22" s="83"/>
    </row>
    <row r="23" spans="1:16" x14ac:dyDescent="0.25">
      <c r="A23" s="13"/>
      <c r="B23" s="69"/>
      <c r="C23" s="69"/>
      <c r="D23" s="69"/>
      <c r="E23" s="66"/>
      <c r="F23" s="65" t="str">
        <f>F6</f>
        <v>Cartera de 6 a 30 dias (1)</v>
      </c>
      <c r="G23" s="64"/>
      <c r="H23" s="64"/>
      <c r="I23" s="93">
        <f>I24</f>
        <v>625121328</v>
      </c>
      <c r="J23" s="68"/>
      <c r="K23" s="93">
        <f>K24</f>
        <v>142198808</v>
      </c>
      <c r="L23" s="70"/>
      <c r="M23" s="64"/>
      <c r="N23" s="64"/>
      <c r="O23" s="93">
        <f>O24</f>
        <v>2500000</v>
      </c>
      <c r="P23" s="64"/>
    </row>
    <row r="24" spans="1:16" x14ac:dyDescent="0.25">
      <c r="A24" s="164" t="s">
        <v>68</v>
      </c>
      <c r="B24" s="164" t="s">
        <v>71</v>
      </c>
      <c r="C24" s="164" t="s">
        <v>214</v>
      </c>
      <c r="D24" s="164">
        <v>70.77</v>
      </c>
      <c r="E24" s="84" t="s">
        <v>215</v>
      </c>
      <c r="F24" s="164" t="s">
        <v>218</v>
      </c>
      <c r="G24" s="168">
        <v>45348</v>
      </c>
      <c r="H24" s="165">
        <v>46295</v>
      </c>
      <c r="I24" s="166">
        <v>625121328</v>
      </c>
      <c r="J24" s="166">
        <f t="shared" si="0"/>
        <v>8833140.1441288684</v>
      </c>
      <c r="K24" s="166">
        <v>142198808</v>
      </c>
      <c r="L24" s="167">
        <f t="shared" si="2"/>
        <v>0.22747393446796618</v>
      </c>
      <c r="M24" s="164">
        <v>1</v>
      </c>
      <c r="N24" s="13">
        <v>18</v>
      </c>
      <c r="O24" s="94">
        <v>2500000</v>
      </c>
      <c r="P24" s="83" t="s">
        <v>474</v>
      </c>
    </row>
    <row r="25" spans="1:16" x14ac:dyDescent="0.25">
      <c r="A25" s="13" t="s">
        <v>68</v>
      </c>
      <c r="B25" s="69"/>
      <c r="C25" s="69"/>
      <c r="D25" s="69"/>
      <c r="E25" s="66"/>
      <c r="F25" s="13"/>
      <c r="G25" s="75"/>
      <c r="H25" s="75"/>
      <c r="I25" s="20"/>
      <c r="J25" s="20" t="e">
        <f t="shared" si="0"/>
        <v>#DIV/0!</v>
      </c>
      <c r="K25" s="20"/>
      <c r="L25" s="22" t="e">
        <f t="shared" si="2"/>
        <v>#DIV/0!</v>
      </c>
      <c r="M25" s="13"/>
      <c r="N25" s="13"/>
      <c r="O25" s="95"/>
      <c r="P25" s="83"/>
    </row>
    <row r="26" spans="1:16" x14ac:dyDescent="0.25">
      <c r="A26" s="14"/>
      <c r="B26" s="14"/>
      <c r="C26" s="15">
        <f>+COUNTA(C14:C25)</f>
        <v>4</v>
      </c>
      <c r="D26" s="14"/>
      <c r="E26" s="14"/>
      <c r="F26" s="14" t="s">
        <v>19</v>
      </c>
      <c r="G26" s="14"/>
      <c r="H26" s="16"/>
      <c r="I26" s="72">
        <f>I13+I17+I23+I20</f>
        <v>2960246305</v>
      </c>
      <c r="J26" s="17"/>
      <c r="K26" s="72">
        <f>K13+K17+K23+K20</f>
        <v>729049357</v>
      </c>
      <c r="L26" s="16"/>
      <c r="M26" s="16"/>
      <c r="N26" s="17"/>
      <c r="O26" s="72">
        <f>O13+O17+O23+O20</f>
        <v>43236624</v>
      </c>
    </row>
    <row r="30" spans="1:16" x14ac:dyDescent="0.25">
      <c r="A30" s="1" t="s">
        <v>38</v>
      </c>
      <c r="C30" s="4"/>
      <c r="E30" s="5"/>
      <c r="K30" s="6"/>
      <c r="M30" s="4"/>
      <c r="O30" s="6"/>
    </row>
    <row r="31" spans="1:16" ht="108" x14ac:dyDescent="0.25">
      <c r="A31" s="7" t="s">
        <v>3</v>
      </c>
      <c r="B31" s="7" t="s">
        <v>4</v>
      </c>
      <c r="C31" s="7" t="s">
        <v>5</v>
      </c>
      <c r="D31" s="7" t="s">
        <v>6</v>
      </c>
      <c r="E31" s="10" t="s">
        <v>7</v>
      </c>
      <c r="F31" s="7" t="s">
        <v>8</v>
      </c>
      <c r="G31" s="9" t="s">
        <v>9</v>
      </c>
      <c r="H31" s="9" t="s">
        <v>18</v>
      </c>
      <c r="I31" s="8" t="s">
        <v>10</v>
      </c>
      <c r="J31" s="8" t="s">
        <v>11</v>
      </c>
      <c r="K31" s="12" t="s">
        <v>12</v>
      </c>
      <c r="L31" s="11" t="s">
        <v>13</v>
      </c>
      <c r="M31" s="8" t="s">
        <v>14</v>
      </c>
      <c r="N31" s="8" t="s">
        <v>15</v>
      </c>
      <c r="O31" s="12" t="s">
        <v>16</v>
      </c>
      <c r="P31" s="8" t="s">
        <v>17</v>
      </c>
    </row>
    <row r="32" spans="1:16" x14ac:dyDescent="0.25">
      <c r="A32" s="56"/>
      <c r="B32" s="56"/>
      <c r="C32" s="56"/>
      <c r="D32" s="57"/>
      <c r="E32" s="59"/>
      <c r="F32" s="58" t="s">
        <v>66</v>
      </c>
      <c r="G32" s="60"/>
      <c r="H32" s="60"/>
      <c r="I32" s="97">
        <f>I33</f>
        <v>684327316</v>
      </c>
      <c r="J32" s="67"/>
      <c r="K32" s="97">
        <f>K33</f>
        <v>204000000</v>
      </c>
      <c r="L32" s="70"/>
      <c r="M32" s="61"/>
      <c r="N32" s="61"/>
      <c r="O32" s="98">
        <f>O33</f>
        <v>4518400</v>
      </c>
      <c r="P32" s="61"/>
    </row>
    <row r="33" spans="1:16" ht="90" x14ac:dyDescent="0.25">
      <c r="A33" s="13" t="s">
        <v>68</v>
      </c>
      <c r="B33" s="69" t="s">
        <v>69</v>
      </c>
      <c r="C33" s="69" t="s">
        <v>226</v>
      </c>
      <c r="D33" s="69">
        <v>110.8</v>
      </c>
      <c r="E33" s="66" t="s">
        <v>227</v>
      </c>
      <c r="F33" s="83" t="s">
        <v>461</v>
      </c>
      <c r="G33" s="75">
        <v>45581</v>
      </c>
      <c r="H33" s="75">
        <v>46294</v>
      </c>
      <c r="I33" s="82">
        <v>684327316</v>
      </c>
      <c r="J33" s="169">
        <f>I33/D33</f>
        <v>6176239.3140794225</v>
      </c>
      <c r="K33" s="82">
        <v>204000000</v>
      </c>
      <c r="L33" s="26">
        <v>0.29810296217957782</v>
      </c>
      <c r="M33" s="13">
        <v>5</v>
      </c>
      <c r="N33" s="13">
        <v>122</v>
      </c>
      <c r="O33" s="169">
        <v>4518400</v>
      </c>
      <c r="P33" s="170" t="s">
        <v>324</v>
      </c>
    </row>
    <row r="34" spans="1:16" x14ac:dyDescent="0.25">
      <c r="A34" s="13"/>
      <c r="B34" s="13"/>
      <c r="C34" s="13"/>
      <c r="D34" s="13"/>
      <c r="E34" s="13"/>
      <c r="F34" s="13"/>
      <c r="G34" s="13"/>
      <c r="H34" s="13"/>
      <c r="I34" s="13"/>
      <c r="J34" s="13" t="e">
        <f t="shared" ref="J34:J35" si="3">I34/D34</f>
        <v>#DIV/0!</v>
      </c>
      <c r="K34" s="13"/>
      <c r="L34" s="13"/>
      <c r="M34" s="13"/>
      <c r="N34" s="13"/>
      <c r="O34" s="13"/>
      <c r="P34" s="13"/>
    </row>
    <row r="35" spans="1:16" x14ac:dyDescent="0.25">
      <c r="A35" s="13"/>
      <c r="B35" s="13"/>
      <c r="C35" s="13"/>
      <c r="D35" s="13"/>
      <c r="E35" s="13"/>
      <c r="F35" s="13"/>
      <c r="G35" s="13"/>
      <c r="H35" s="13"/>
      <c r="I35" s="13"/>
      <c r="J35" s="13" t="e">
        <f t="shared" si="3"/>
        <v>#DIV/0!</v>
      </c>
      <c r="K35" s="13"/>
      <c r="L35" s="13"/>
      <c r="M35" s="13"/>
      <c r="N35" s="13"/>
      <c r="O35" s="13"/>
      <c r="P35" s="13"/>
    </row>
    <row r="36" spans="1:16" x14ac:dyDescent="0.25">
      <c r="A36" s="13"/>
      <c r="B36" s="13"/>
      <c r="C36" s="13"/>
      <c r="D36" s="13"/>
      <c r="E36" s="13"/>
      <c r="F36" s="65" t="s">
        <v>65</v>
      </c>
      <c r="G36" s="64"/>
      <c r="H36" s="64"/>
      <c r="I36" s="99">
        <f>I37</f>
        <v>716700000</v>
      </c>
      <c r="J36" s="64"/>
      <c r="K36" s="99">
        <f>K37</f>
        <v>204543952</v>
      </c>
      <c r="L36" s="64"/>
      <c r="M36" s="64"/>
      <c r="N36" s="64"/>
      <c r="O36" s="99">
        <f>O37</f>
        <v>6271268</v>
      </c>
      <c r="P36" s="64"/>
    </row>
    <row r="37" spans="1:16" ht="30" x14ac:dyDescent="0.25">
      <c r="A37" s="13" t="s">
        <v>68</v>
      </c>
      <c r="B37" s="13" t="s">
        <v>67</v>
      </c>
      <c r="C37" s="13" t="s">
        <v>216</v>
      </c>
      <c r="D37" s="13">
        <v>89.56</v>
      </c>
      <c r="E37" s="13" t="s">
        <v>217</v>
      </c>
      <c r="F37" s="13" t="s">
        <v>219</v>
      </c>
      <c r="G37" s="75">
        <v>45354</v>
      </c>
      <c r="H37" s="75">
        <v>46305</v>
      </c>
      <c r="I37" s="82">
        <v>716700000</v>
      </c>
      <c r="J37" s="171">
        <f t="shared" ref="J37:J42" si="4">I37/D37</f>
        <v>8002456.4537740061</v>
      </c>
      <c r="K37" s="82">
        <v>204543952</v>
      </c>
      <c r="L37" s="26">
        <f t="shared" ref="L37" si="5">K37/I37</f>
        <v>0.28539689130738105</v>
      </c>
      <c r="M37" s="13">
        <v>3</v>
      </c>
      <c r="N37" s="13">
        <v>68</v>
      </c>
      <c r="O37" s="82">
        <v>6271268</v>
      </c>
      <c r="P37" s="83" t="s">
        <v>228</v>
      </c>
    </row>
    <row r="38" spans="1:16" x14ac:dyDescent="0.25">
      <c r="A38" s="13"/>
      <c r="B38" s="13"/>
      <c r="C38" s="13"/>
      <c r="D38" s="13"/>
      <c r="E38" s="13"/>
      <c r="F38" s="13"/>
      <c r="G38" s="13"/>
      <c r="H38" s="13"/>
      <c r="I38" s="13"/>
      <c r="J38" s="13" t="e">
        <f t="shared" si="4"/>
        <v>#DIV/0!</v>
      </c>
      <c r="K38" s="13"/>
      <c r="L38" s="13"/>
      <c r="M38" s="13"/>
      <c r="N38" s="13"/>
      <c r="O38" s="13"/>
      <c r="P38" s="13"/>
    </row>
    <row r="39" spans="1:16" x14ac:dyDescent="0.25">
      <c r="A39" s="13"/>
      <c r="B39" s="13"/>
      <c r="C39" s="13"/>
      <c r="D39" s="13"/>
      <c r="E39" s="13"/>
      <c r="F39" s="13"/>
      <c r="G39" s="13"/>
      <c r="H39" s="13"/>
      <c r="I39" s="13"/>
      <c r="J39" s="13" t="e">
        <f t="shared" si="4"/>
        <v>#DIV/0!</v>
      </c>
      <c r="K39" s="13"/>
      <c r="L39" s="13"/>
      <c r="M39" s="13"/>
      <c r="N39" s="13"/>
      <c r="O39" s="13"/>
      <c r="P39" s="13"/>
    </row>
    <row r="40" spans="1:16" x14ac:dyDescent="0.25">
      <c r="A40" s="13"/>
      <c r="B40" s="13"/>
      <c r="C40" s="13"/>
      <c r="D40" s="13"/>
      <c r="E40" s="13"/>
      <c r="F40" s="65" t="s">
        <v>232</v>
      </c>
      <c r="G40" s="64"/>
      <c r="H40" s="64"/>
      <c r="I40" s="99">
        <f>I41+I42</f>
        <v>592718815</v>
      </c>
      <c r="J40" s="64" t="e">
        <f t="shared" si="4"/>
        <v>#DIV/0!</v>
      </c>
      <c r="K40" s="99">
        <f>K41+K42</f>
        <v>157571482</v>
      </c>
      <c r="L40" s="64"/>
      <c r="M40" s="64"/>
      <c r="N40" s="64"/>
      <c r="O40" s="99">
        <f>O41+O42</f>
        <v>2744162</v>
      </c>
      <c r="P40" s="64"/>
    </row>
    <row r="41" spans="1:16" ht="30" x14ac:dyDescent="0.25">
      <c r="A41" s="13" t="s">
        <v>68</v>
      </c>
      <c r="B41" s="13" t="s">
        <v>229</v>
      </c>
      <c r="C41" s="75" t="s">
        <v>210</v>
      </c>
      <c r="D41" s="13">
        <v>70.5</v>
      </c>
      <c r="E41" s="75" t="s">
        <v>211</v>
      </c>
      <c r="F41" s="75" t="s">
        <v>213</v>
      </c>
      <c r="G41" s="75">
        <v>45399</v>
      </c>
      <c r="H41" s="75">
        <v>46259</v>
      </c>
      <c r="I41" s="82">
        <v>592718815</v>
      </c>
      <c r="J41" s="90">
        <f t="shared" si="4"/>
        <v>8407359.0780141838</v>
      </c>
      <c r="K41" s="82">
        <v>157571482</v>
      </c>
      <c r="L41" s="26">
        <f t="shared" ref="L41:L42" si="6">K41/I41</f>
        <v>0.26584525075351284</v>
      </c>
      <c r="M41" s="13">
        <v>2</v>
      </c>
      <c r="N41" s="13">
        <v>40</v>
      </c>
      <c r="O41" s="82">
        <v>2744162</v>
      </c>
      <c r="P41" s="83" t="s">
        <v>328</v>
      </c>
    </row>
    <row r="42" spans="1:16" x14ac:dyDescent="0.25">
      <c r="A42" s="13"/>
      <c r="B42" s="13"/>
      <c r="C42" s="13"/>
      <c r="D42" s="13"/>
      <c r="E42" s="13"/>
      <c r="F42" s="13"/>
      <c r="G42" s="75"/>
      <c r="H42" s="75"/>
      <c r="I42" s="20"/>
      <c r="J42" s="78" t="e">
        <f t="shared" si="4"/>
        <v>#DIV/0!</v>
      </c>
      <c r="K42" s="20"/>
      <c r="L42" s="22" t="e">
        <f t="shared" si="6"/>
        <v>#DIV/0!</v>
      </c>
      <c r="M42" s="13"/>
      <c r="N42" s="13"/>
      <c r="O42" s="20"/>
      <c r="P42" s="83"/>
    </row>
    <row r="43" spans="1:16" x14ac:dyDescent="0.25">
      <c r="A43" s="13"/>
      <c r="B43" s="13"/>
      <c r="C43" s="13"/>
      <c r="D43" s="13"/>
      <c r="E43" s="13"/>
      <c r="F43" s="65" t="s">
        <v>63</v>
      </c>
      <c r="G43" s="64"/>
      <c r="H43" s="64"/>
      <c r="I43" s="64"/>
      <c r="J43" s="64" t="e">
        <f t="shared" ref="J43:J45" si="7">I43/D43</f>
        <v>#DIV/0!</v>
      </c>
      <c r="K43" s="64"/>
      <c r="L43" s="64"/>
      <c r="M43" s="64"/>
      <c r="N43" s="64"/>
      <c r="O43" s="19"/>
      <c r="P43" s="64"/>
    </row>
    <row r="44" spans="1:16" x14ac:dyDescent="0.25">
      <c r="A44" s="13"/>
      <c r="B44" s="13"/>
      <c r="C44" s="13"/>
      <c r="D44" s="13"/>
      <c r="E44" s="13"/>
      <c r="F44" s="13"/>
      <c r="G44" s="13"/>
      <c r="H44" s="13"/>
      <c r="I44" s="13"/>
      <c r="J44" s="13" t="e">
        <f t="shared" si="7"/>
        <v>#DIV/0!</v>
      </c>
      <c r="K44" s="13"/>
      <c r="L44" s="13"/>
      <c r="M44" s="13"/>
      <c r="N44" s="13"/>
      <c r="O44" s="13"/>
      <c r="P44" s="13"/>
    </row>
    <row r="45" spans="1:16" x14ac:dyDescent="0.25">
      <c r="A45" s="13"/>
      <c r="B45" s="13"/>
      <c r="C45" s="13"/>
      <c r="D45" s="13"/>
      <c r="E45" s="13"/>
      <c r="F45" s="13"/>
      <c r="G45" s="13"/>
      <c r="H45" s="13"/>
      <c r="I45" s="13"/>
      <c r="J45" s="13" t="e">
        <f t="shared" si="7"/>
        <v>#DIV/0!</v>
      </c>
      <c r="K45" s="13"/>
      <c r="L45" s="13"/>
      <c r="M45" s="13"/>
      <c r="N45" s="13"/>
      <c r="O45" s="13"/>
      <c r="P45" s="13"/>
    </row>
    <row r="46" spans="1:16" x14ac:dyDescent="0.25">
      <c r="A46" s="14"/>
      <c r="B46" s="14"/>
      <c r="C46" s="15">
        <f>+COUNTA(C37:C45)</f>
        <v>2</v>
      </c>
      <c r="D46" s="14"/>
      <c r="E46" s="14"/>
      <c r="F46" s="14" t="s">
        <v>19</v>
      </c>
      <c r="G46" s="14"/>
      <c r="H46" s="16"/>
      <c r="I46" s="72">
        <f>I40+I36+I40+I43</f>
        <v>1902137630</v>
      </c>
      <c r="J46" s="17"/>
      <c r="K46" s="72">
        <f>K40+K36+K40+K43</f>
        <v>519686916</v>
      </c>
      <c r="L46" s="16"/>
      <c r="M46" s="16"/>
      <c r="N46" s="17"/>
      <c r="O46" s="72">
        <f>O32+O36+O40</f>
        <v>13533830</v>
      </c>
    </row>
    <row r="48" spans="1:16" x14ac:dyDescent="0.25">
      <c r="F48" s="18" t="s">
        <v>20</v>
      </c>
      <c r="G48" s="13">
        <v>68</v>
      </c>
    </row>
    <row r="49" spans="6:7" x14ac:dyDescent="0.25">
      <c r="F49" s="18" t="s">
        <v>21</v>
      </c>
      <c r="G49" s="13">
        <f>G48-G50</f>
        <v>8</v>
      </c>
    </row>
    <row r="50" spans="6:7" x14ac:dyDescent="0.25">
      <c r="F50" s="19" t="s">
        <v>22</v>
      </c>
      <c r="G50" s="13">
        <v>60</v>
      </c>
    </row>
    <row r="51" spans="6:7" x14ac:dyDescent="0.25">
      <c r="F51" s="19" t="s">
        <v>230</v>
      </c>
      <c r="G51" s="20">
        <v>105594124</v>
      </c>
    </row>
    <row r="52" spans="6:7" x14ac:dyDescent="0.25">
      <c r="F52" s="19" t="s">
        <v>320</v>
      </c>
      <c r="G52" s="20">
        <v>77642970</v>
      </c>
    </row>
    <row r="53" spans="6:7" x14ac:dyDescent="0.25">
      <c r="F53" s="19" t="s">
        <v>74</v>
      </c>
      <c r="G53" s="20">
        <v>15526661329.57</v>
      </c>
    </row>
    <row r="54" spans="6:7" x14ac:dyDescent="0.25">
      <c r="F54" s="19" t="s">
        <v>23</v>
      </c>
      <c r="G54" s="20">
        <f>G53+O6+O7+O8+O9</f>
        <v>15583431783.57</v>
      </c>
    </row>
    <row r="55" spans="6:7" x14ac:dyDescent="0.25">
      <c r="F55" s="19" t="s">
        <v>24</v>
      </c>
      <c r="G55" s="21">
        <f>G54-G53</f>
        <v>56770454</v>
      </c>
    </row>
    <row r="56" spans="6:7" x14ac:dyDescent="0.25">
      <c r="F56" s="19" t="s">
        <v>25</v>
      </c>
      <c r="G56" s="22">
        <f>G55/G54</f>
        <v>3.6430007708478248E-3</v>
      </c>
    </row>
    <row r="57" spans="6:7" x14ac:dyDescent="0.25">
      <c r="F57" s="19" t="s">
        <v>26</v>
      </c>
      <c r="G57" s="21">
        <v>0</v>
      </c>
    </row>
    <row r="58" spans="6:7" x14ac:dyDescent="0.25">
      <c r="F58" s="19" t="s">
        <v>27</v>
      </c>
      <c r="G58" s="22">
        <f>G57/G54</f>
        <v>0</v>
      </c>
    </row>
    <row r="59" spans="6:7" x14ac:dyDescent="0.25">
      <c r="F59" s="19" t="s">
        <v>28</v>
      </c>
      <c r="G59" s="21">
        <f>O46</f>
        <v>13533830</v>
      </c>
    </row>
    <row r="60" spans="6:7" x14ac:dyDescent="0.25">
      <c r="F60" s="19" t="s">
        <v>29</v>
      </c>
      <c r="G60" s="21">
        <f>O26</f>
        <v>43236624</v>
      </c>
    </row>
    <row r="61" spans="6:7" x14ac:dyDescent="0.25">
      <c r="F61" s="19" t="s">
        <v>30</v>
      </c>
      <c r="G61" s="22">
        <f>G60/G54</f>
        <v>2.7745251880645092E-3</v>
      </c>
    </row>
    <row r="62" spans="6:7" x14ac:dyDescent="0.25">
      <c r="F62" s="19" t="s">
        <v>75</v>
      </c>
      <c r="G62" s="73">
        <v>7</v>
      </c>
    </row>
    <row r="63" spans="6:7" x14ac:dyDescent="0.25">
      <c r="F63" s="1"/>
      <c r="G63" s="28"/>
    </row>
    <row r="65" spans="6:7" x14ac:dyDescent="0.25">
      <c r="F65" s="19" t="s">
        <v>31</v>
      </c>
      <c r="G65" s="24">
        <v>0</v>
      </c>
    </row>
    <row r="66" spans="6:7" x14ac:dyDescent="0.25">
      <c r="F66" s="19" t="s">
        <v>32</v>
      </c>
      <c r="G66" s="24">
        <f>O41</f>
        <v>2744162</v>
      </c>
    </row>
    <row r="67" spans="6:7" x14ac:dyDescent="0.25">
      <c r="F67" s="19" t="s">
        <v>33</v>
      </c>
      <c r="G67" s="24">
        <v>0</v>
      </c>
    </row>
    <row r="68" spans="6:7" x14ac:dyDescent="0.25">
      <c r="F68" s="19" t="s">
        <v>34</v>
      </c>
      <c r="G68" s="24">
        <v>0</v>
      </c>
    </row>
    <row r="69" spans="6:7" x14ac:dyDescent="0.25">
      <c r="F69" s="19" t="s">
        <v>321</v>
      </c>
      <c r="G69" s="73">
        <v>9</v>
      </c>
    </row>
    <row r="70" spans="6:7" x14ac:dyDescent="0.25">
      <c r="F70" s="27"/>
      <c r="G70" s="29"/>
    </row>
    <row r="72" spans="6:7" x14ac:dyDescent="0.25">
      <c r="F72" s="25" t="s">
        <v>322</v>
      </c>
      <c r="G72" s="26">
        <v>2.029551413578883E-3</v>
      </c>
    </row>
  </sheetData>
  <mergeCells count="1">
    <mergeCell ref="B3:D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657B8-1F3B-482B-8BFD-55C3CDF159D6}">
  <dimension ref="A1:N69"/>
  <sheetViews>
    <sheetView topLeftCell="A4" zoomScale="70" zoomScaleNormal="70" workbookViewId="0">
      <selection activeCell="L16" sqref="L16"/>
    </sheetView>
  </sheetViews>
  <sheetFormatPr baseColWidth="10" defaultColWidth="11.42578125" defaultRowHeight="15" x14ac:dyDescent="0.25"/>
  <cols>
    <col min="1" max="1" width="7.140625" customWidth="1"/>
    <col min="2" max="2" width="7.7109375" customWidth="1"/>
    <col min="3" max="3" width="18.28515625" customWidth="1"/>
    <col min="4" max="4" width="34.28515625" customWidth="1"/>
    <col min="5" max="5" width="20.140625" bestFit="1" customWidth="1"/>
    <col min="6" max="6" width="16.28515625" bestFit="1" customWidth="1"/>
    <col min="7" max="7" width="23.140625" style="96" bestFit="1" customWidth="1"/>
    <col min="8" max="8" width="17.28515625" style="96" bestFit="1" customWidth="1"/>
    <col min="9" max="9" width="22.140625" style="96" bestFit="1" customWidth="1"/>
    <col min="10" max="10" width="10.5703125" bestFit="1" customWidth="1"/>
    <col min="11" max="11" width="6.140625" customWidth="1"/>
    <col min="12" max="12" width="5.28515625" customWidth="1"/>
    <col min="13" max="13" width="22.85546875" style="96" bestFit="1" customWidth="1"/>
    <col min="14" max="14" width="46.140625" bestFit="1" customWidth="1"/>
  </cols>
  <sheetData>
    <row r="1" spans="1:14" x14ac:dyDescent="0.25">
      <c r="C1" s="1" t="s">
        <v>0</v>
      </c>
      <c r="H1" s="2" t="s">
        <v>266</v>
      </c>
    </row>
    <row r="2" spans="1:14" x14ac:dyDescent="0.25">
      <c r="C2" s="1" t="s">
        <v>1</v>
      </c>
    </row>
    <row r="3" spans="1:14" x14ac:dyDescent="0.25">
      <c r="C3" s="3"/>
      <c r="D3" s="220" t="s">
        <v>415</v>
      </c>
      <c r="E3" s="220"/>
      <c r="F3" s="220"/>
    </row>
    <row r="5" spans="1:14" ht="15.75" thickBot="1" x14ac:dyDescent="0.3"/>
    <row r="6" spans="1:14" x14ac:dyDescent="0.25">
      <c r="A6" s="4"/>
      <c r="C6" s="5"/>
      <c r="D6" s="53" t="s">
        <v>63</v>
      </c>
      <c r="E6" s="47"/>
      <c r="F6" s="47"/>
      <c r="G6" s="109"/>
      <c r="H6" s="109"/>
      <c r="I6" s="110"/>
      <c r="J6" s="47"/>
      <c r="K6" s="49"/>
      <c r="L6" s="47"/>
      <c r="M6" s="111">
        <f>M23</f>
        <v>5121300</v>
      </c>
    </row>
    <row r="7" spans="1:14" x14ac:dyDescent="0.25">
      <c r="A7" s="4"/>
      <c r="C7" s="5"/>
      <c r="D7" s="54" t="s">
        <v>64</v>
      </c>
      <c r="I7" s="112"/>
      <c r="K7" s="4"/>
      <c r="M7" s="113">
        <f>M20</f>
        <v>52863178</v>
      </c>
    </row>
    <row r="8" spans="1:14" x14ac:dyDescent="0.25">
      <c r="A8" s="4"/>
      <c r="C8" s="5"/>
      <c r="D8" s="54" t="s">
        <v>65</v>
      </c>
      <c r="I8" s="112"/>
      <c r="K8" s="4"/>
      <c r="M8" s="113">
        <f>M17+M37</f>
        <v>16245000</v>
      </c>
    </row>
    <row r="9" spans="1:14" ht="15.75" thickBot="1" x14ac:dyDescent="0.3">
      <c r="A9" s="4"/>
      <c r="C9" s="5"/>
      <c r="D9" s="55" t="s">
        <v>66</v>
      </c>
      <c r="E9" s="50"/>
      <c r="F9" s="50"/>
      <c r="G9" s="114"/>
      <c r="H9" s="114"/>
      <c r="I9" s="115"/>
      <c r="J9" s="50"/>
      <c r="K9" s="52"/>
      <c r="L9" s="50"/>
      <c r="M9" s="116">
        <f>M13</f>
        <v>44878308</v>
      </c>
    </row>
    <row r="10" spans="1:14" x14ac:dyDescent="0.25">
      <c r="A10" s="4"/>
      <c r="C10" s="5"/>
    </row>
    <row r="11" spans="1:14" x14ac:dyDescent="0.25">
      <c r="A11" s="1" t="s">
        <v>2</v>
      </c>
      <c r="C11" s="5"/>
      <c r="I11" s="112"/>
      <c r="K11" s="4"/>
      <c r="M11" s="112"/>
    </row>
    <row r="12" spans="1:14" ht="60" x14ac:dyDescent="0.25">
      <c r="A12" s="174" t="s">
        <v>5</v>
      </c>
      <c r="B12" s="174" t="s">
        <v>6</v>
      </c>
      <c r="C12" s="175" t="s">
        <v>7</v>
      </c>
      <c r="D12" s="174" t="s">
        <v>8</v>
      </c>
      <c r="E12" s="176" t="s">
        <v>9</v>
      </c>
      <c r="F12" s="176" t="s">
        <v>18</v>
      </c>
      <c r="G12" s="177" t="s">
        <v>10</v>
      </c>
      <c r="H12" s="177" t="s">
        <v>11</v>
      </c>
      <c r="I12" s="177" t="s">
        <v>12</v>
      </c>
      <c r="J12" s="178" t="s">
        <v>13</v>
      </c>
      <c r="K12" s="179" t="s">
        <v>14</v>
      </c>
      <c r="L12" s="179" t="s">
        <v>15</v>
      </c>
      <c r="M12" s="177" t="s">
        <v>16</v>
      </c>
      <c r="N12" s="179" t="s">
        <v>17</v>
      </c>
    </row>
    <row r="13" spans="1:14" x14ac:dyDescent="0.25">
      <c r="A13" s="180"/>
      <c r="B13" s="180"/>
      <c r="C13" s="180"/>
      <c r="D13" s="105" t="str">
        <f>D9</f>
        <v xml:space="preserve">Cartera Mayor de 90 dias </v>
      </c>
      <c r="E13" s="180"/>
      <c r="F13" s="180"/>
      <c r="G13" s="97">
        <f>G14+G16+G15</f>
        <v>1961909368</v>
      </c>
      <c r="H13" s="97"/>
      <c r="I13" s="97">
        <f>I14+I16+I15</f>
        <v>508350138</v>
      </c>
      <c r="J13" s="181"/>
      <c r="K13" s="182"/>
      <c r="L13" s="182"/>
      <c r="M13" s="97">
        <f>M14+M16+M15</f>
        <v>44878308</v>
      </c>
      <c r="N13" s="182"/>
    </row>
    <row r="14" spans="1:14" ht="45" x14ac:dyDescent="0.25">
      <c r="A14" s="13" t="s">
        <v>127</v>
      </c>
      <c r="B14" s="13">
        <v>80.92</v>
      </c>
      <c r="C14" s="66">
        <v>1429625240801</v>
      </c>
      <c r="D14" s="126" t="s">
        <v>128</v>
      </c>
      <c r="E14" s="119">
        <v>45356</v>
      </c>
      <c r="F14" s="119">
        <v>46307</v>
      </c>
      <c r="G14" s="20">
        <v>730238296</v>
      </c>
      <c r="H14" s="20">
        <f t="shared" ref="H14:H16" si="0">G14/B14</f>
        <v>9024200.3954522982</v>
      </c>
      <c r="I14" s="20">
        <v>201771000</v>
      </c>
      <c r="J14" s="183">
        <f t="shared" ref="J14:J18" si="1">I14/G14</f>
        <v>0.27630843398002231</v>
      </c>
      <c r="K14" s="121">
        <v>6</v>
      </c>
      <c r="L14" s="121">
        <v>156</v>
      </c>
      <c r="M14" s="122">
        <v>12851400</v>
      </c>
      <c r="N14" s="123" t="s">
        <v>432</v>
      </c>
    </row>
    <row r="15" spans="1:14" ht="105" x14ac:dyDescent="0.25">
      <c r="A15" s="13" t="s">
        <v>129</v>
      </c>
      <c r="B15" s="13">
        <v>82.44</v>
      </c>
      <c r="C15" s="66">
        <v>1429625251400</v>
      </c>
      <c r="D15" s="126" t="s">
        <v>130</v>
      </c>
      <c r="E15" s="119">
        <v>45398</v>
      </c>
      <c r="F15" s="119">
        <v>46356</v>
      </c>
      <c r="G15" s="20">
        <v>648013176</v>
      </c>
      <c r="H15" s="20">
        <f t="shared" si="0"/>
        <v>7860421.8340611355</v>
      </c>
      <c r="I15" s="20">
        <v>170825950</v>
      </c>
      <c r="J15" s="183">
        <f t="shared" si="1"/>
        <v>0.2636149330395714</v>
      </c>
      <c r="K15" s="121">
        <v>5</v>
      </c>
      <c r="L15" s="121">
        <v>138</v>
      </c>
      <c r="M15" s="122">
        <v>14105000</v>
      </c>
      <c r="N15" s="123" t="s">
        <v>475</v>
      </c>
    </row>
    <row r="16" spans="1:14" ht="75" x14ac:dyDescent="0.25">
      <c r="A16" s="13" t="s">
        <v>131</v>
      </c>
      <c r="B16" s="13">
        <v>80.92</v>
      </c>
      <c r="C16" s="66">
        <v>1429625220900</v>
      </c>
      <c r="D16" s="161" t="s">
        <v>132</v>
      </c>
      <c r="E16" s="119">
        <v>45377</v>
      </c>
      <c r="F16" s="119">
        <v>46294</v>
      </c>
      <c r="G16" s="20">
        <v>583657896</v>
      </c>
      <c r="H16" s="20">
        <f t="shared" si="0"/>
        <v>7212776.7671774589</v>
      </c>
      <c r="I16" s="20">
        <v>135753188</v>
      </c>
      <c r="J16" s="183">
        <f t="shared" si="1"/>
        <v>0.23259033918732422</v>
      </c>
      <c r="K16" s="121">
        <v>4</v>
      </c>
      <c r="L16" s="121">
        <v>109</v>
      </c>
      <c r="M16" s="122">
        <v>17921908</v>
      </c>
      <c r="N16" s="83" t="s">
        <v>433</v>
      </c>
    </row>
    <row r="17" spans="1:14" x14ac:dyDescent="0.25">
      <c r="A17" s="124"/>
      <c r="B17" s="124"/>
      <c r="C17" s="124"/>
      <c r="D17" s="65" t="str">
        <f>D8</f>
        <v xml:space="preserve">Cartera de 61 a 90 dias </v>
      </c>
      <c r="E17" s="124"/>
      <c r="F17" s="124"/>
      <c r="G17" s="93">
        <f>G18+G19</f>
        <v>0</v>
      </c>
      <c r="H17" s="92"/>
      <c r="I17" s="93">
        <f>I18+I19</f>
        <v>0</v>
      </c>
      <c r="J17" s="183"/>
      <c r="K17" s="64"/>
      <c r="L17" s="64"/>
      <c r="M17" s="125">
        <f>M18+M19</f>
        <v>0</v>
      </c>
      <c r="N17" s="64"/>
    </row>
    <row r="18" spans="1:14" x14ac:dyDescent="0.25">
      <c r="A18" s="13"/>
      <c r="C18" s="172"/>
      <c r="D18" s="126"/>
      <c r="E18" s="139"/>
      <c r="F18" s="139"/>
      <c r="G18" s="140"/>
      <c r="H18" s="20" t="e">
        <f t="shared" ref="H18" si="2">G18/B18</f>
        <v>#DIV/0!</v>
      </c>
      <c r="I18" s="140"/>
      <c r="J18" s="183" t="e">
        <f t="shared" si="1"/>
        <v>#DIV/0!</v>
      </c>
      <c r="K18" s="69"/>
      <c r="L18" s="69"/>
      <c r="M18" s="122"/>
      <c r="N18" s="142"/>
    </row>
    <row r="19" spans="1:14" x14ac:dyDescent="0.25">
      <c r="A19" s="13"/>
      <c r="B19" s="13"/>
      <c r="C19" s="66"/>
      <c r="D19" s="13"/>
      <c r="E19" s="119"/>
      <c r="F19" s="119"/>
      <c r="G19" s="20"/>
      <c r="H19" s="20"/>
      <c r="I19" s="20"/>
      <c r="J19" s="183"/>
      <c r="K19" s="69"/>
      <c r="L19" s="69"/>
      <c r="M19" s="122"/>
      <c r="N19" s="83"/>
    </row>
    <row r="20" spans="1:14" x14ac:dyDescent="0.25">
      <c r="A20" s="124"/>
      <c r="B20" s="124"/>
      <c r="C20" s="124"/>
      <c r="D20" s="65" t="str">
        <f>D7</f>
        <v xml:space="preserve">Catera de 31 a 60dias </v>
      </c>
      <c r="E20" s="124"/>
      <c r="F20" s="124"/>
      <c r="G20" s="93">
        <f>G21+G22</f>
        <v>1669005339</v>
      </c>
      <c r="H20" s="92"/>
      <c r="I20" s="93">
        <f>I21+I22</f>
        <v>446952712</v>
      </c>
      <c r="J20" s="183"/>
      <c r="K20" s="64"/>
      <c r="L20" s="64"/>
      <c r="M20" s="93">
        <f>+M21+M22</f>
        <v>52863178</v>
      </c>
      <c r="N20" s="64"/>
    </row>
    <row r="21" spans="1:14" ht="60" x14ac:dyDescent="0.25">
      <c r="A21" s="13" t="s">
        <v>134</v>
      </c>
      <c r="B21" s="13">
        <v>111.21</v>
      </c>
      <c r="C21" s="66">
        <v>1603715220101</v>
      </c>
      <c r="D21" s="13" t="s">
        <v>135</v>
      </c>
      <c r="E21" s="139">
        <v>45847</v>
      </c>
      <c r="F21" s="139">
        <v>46527</v>
      </c>
      <c r="G21" s="140">
        <v>1118772600</v>
      </c>
      <c r="H21" s="20">
        <f t="shared" ref="H21:H27" si="3">G21/B21</f>
        <v>10060000</v>
      </c>
      <c r="I21" s="140">
        <v>138452712</v>
      </c>
      <c r="J21" s="183">
        <f t="shared" ref="J21:J27" si="4">I21/G21</f>
        <v>0.12375411410683458</v>
      </c>
      <c r="K21" s="141">
        <v>2</v>
      </c>
      <c r="L21" s="141">
        <v>58</v>
      </c>
      <c r="M21" s="140">
        <v>32863178</v>
      </c>
      <c r="N21" s="142" t="s">
        <v>434</v>
      </c>
    </row>
    <row r="22" spans="1:14" ht="30" x14ac:dyDescent="0.25">
      <c r="A22" s="13" t="s">
        <v>164</v>
      </c>
      <c r="B22" s="13">
        <v>83.24</v>
      </c>
      <c r="C22" s="66">
        <v>1429625211305</v>
      </c>
      <c r="D22" s="13" t="s">
        <v>267</v>
      </c>
      <c r="E22" s="139">
        <v>45358</v>
      </c>
      <c r="F22" s="139">
        <v>46218</v>
      </c>
      <c r="G22" s="140">
        <v>550232739</v>
      </c>
      <c r="H22" s="20">
        <f t="shared" si="3"/>
        <v>6610196.2878423836</v>
      </c>
      <c r="I22" s="20">
        <v>308500000</v>
      </c>
      <c r="J22" s="183">
        <f t="shared" si="4"/>
        <v>0.56067183599556769</v>
      </c>
      <c r="K22" s="141">
        <v>2</v>
      </c>
      <c r="L22" s="141">
        <v>48</v>
      </c>
      <c r="M22" s="140">
        <v>20000000</v>
      </c>
      <c r="N22" s="133" t="s">
        <v>435</v>
      </c>
    </row>
    <row r="23" spans="1:14" x14ac:dyDescent="0.25">
      <c r="A23" s="124"/>
      <c r="B23" s="124"/>
      <c r="C23" s="124"/>
      <c r="D23" s="65" t="str">
        <f>D6</f>
        <v xml:space="preserve">Cartera de 6 a 30 dias </v>
      </c>
      <c r="E23" s="124"/>
      <c r="F23" s="124"/>
      <c r="G23" s="93">
        <f>G24+G25+G26+G27</f>
        <v>2591898285</v>
      </c>
      <c r="H23" s="92"/>
      <c r="I23" s="93">
        <f>I24+I25+I26+I27</f>
        <v>756261395</v>
      </c>
      <c r="J23" s="183"/>
      <c r="K23" s="87"/>
      <c r="L23" s="87"/>
      <c r="M23" s="93">
        <f>M24+M25+M26+M27</f>
        <v>5121300</v>
      </c>
      <c r="N23" s="64"/>
    </row>
    <row r="24" spans="1:14" ht="30" x14ac:dyDescent="0.25">
      <c r="A24" s="13" t="s">
        <v>163</v>
      </c>
      <c r="B24" s="13">
        <v>75.31</v>
      </c>
      <c r="C24" s="66">
        <v>1429625220417</v>
      </c>
      <c r="D24" s="217" t="s">
        <v>269</v>
      </c>
      <c r="E24" s="119">
        <v>45152</v>
      </c>
      <c r="F24" s="119">
        <v>46433</v>
      </c>
      <c r="G24" s="20">
        <v>779000000</v>
      </c>
      <c r="H24" s="20">
        <f t="shared" si="3"/>
        <v>10343911.831098128</v>
      </c>
      <c r="I24" s="20">
        <v>229410473</v>
      </c>
      <c r="J24" s="183">
        <f t="shared" si="4"/>
        <v>0.29449354685494222</v>
      </c>
      <c r="K24" s="69">
        <v>2</v>
      </c>
      <c r="L24" s="69">
        <v>38</v>
      </c>
      <c r="M24" s="20">
        <v>1072400</v>
      </c>
      <c r="N24" s="83" t="s">
        <v>436</v>
      </c>
    </row>
    <row r="25" spans="1:14" x14ac:dyDescent="0.25">
      <c r="A25" s="13" t="s">
        <v>140</v>
      </c>
      <c r="B25" s="13">
        <v>89.36</v>
      </c>
      <c r="C25" s="172" t="s">
        <v>437</v>
      </c>
      <c r="D25" s="13" t="s">
        <v>438</v>
      </c>
      <c r="E25" s="119">
        <v>45300</v>
      </c>
      <c r="F25" s="119"/>
      <c r="G25" s="162">
        <v>673904522</v>
      </c>
      <c r="H25" s="162">
        <f t="shared" si="3"/>
        <v>7541456.1548791407</v>
      </c>
      <c r="I25" s="162">
        <v>197486020</v>
      </c>
      <c r="J25" s="184">
        <f t="shared" si="4"/>
        <v>0.29304747713207957</v>
      </c>
      <c r="K25" s="69">
        <v>1</v>
      </c>
      <c r="L25" s="69">
        <v>26</v>
      </c>
      <c r="M25" s="162">
        <v>1125600</v>
      </c>
      <c r="N25" s="13" t="s">
        <v>155</v>
      </c>
    </row>
    <row r="26" spans="1:14" x14ac:dyDescent="0.25">
      <c r="A26" s="13" t="s">
        <v>170</v>
      </c>
      <c r="B26" s="13">
        <v>55.39</v>
      </c>
      <c r="C26" s="172" t="s">
        <v>439</v>
      </c>
      <c r="D26" s="13" t="s">
        <v>440</v>
      </c>
      <c r="E26" s="119">
        <v>45399</v>
      </c>
      <c r="F26" s="119"/>
      <c r="G26" s="162">
        <v>365365346</v>
      </c>
      <c r="H26" s="162">
        <f t="shared" si="3"/>
        <v>6596233.0023469944</v>
      </c>
      <c r="I26" s="162">
        <v>100364902</v>
      </c>
      <c r="J26" s="184">
        <f t="shared" si="4"/>
        <v>0.27469737647204234</v>
      </c>
      <c r="K26" s="69">
        <v>1</v>
      </c>
      <c r="L26" s="69">
        <v>23</v>
      </c>
      <c r="M26" s="162">
        <v>1466500</v>
      </c>
      <c r="N26" s="13" t="s">
        <v>155</v>
      </c>
    </row>
    <row r="27" spans="1:14" x14ac:dyDescent="0.25">
      <c r="A27" s="13" t="s">
        <v>136</v>
      </c>
      <c r="B27" s="13">
        <v>110.8</v>
      </c>
      <c r="C27" s="172" t="s">
        <v>441</v>
      </c>
      <c r="D27" s="13" t="s">
        <v>442</v>
      </c>
      <c r="E27" s="119">
        <v>45358</v>
      </c>
      <c r="F27" s="119"/>
      <c r="G27" s="162">
        <v>773628417</v>
      </c>
      <c r="H27" s="162">
        <f t="shared" si="3"/>
        <v>6982205.9296028884</v>
      </c>
      <c r="I27" s="162">
        <v>229000000</v>
      </c>
      <c r="J27" s="184">
        <f t="shared" si="4"/>
        <v>0.29600774088421317</v>
      </c>
      <c r="K27" s="69">
        <v>1</v>
      </c>
      <c r="L27" s="69">
        <v>18</v>
      </c>
      <c r="M27" s="162">
        <v>1456800</v>
      </c>
      <c r="N27" s="13" t="s">
        <v>155</v>
      </c>
    </row>
    <row r="28" spans="1:14" x14ac:dyDescent="0.25">
      <c r="A28" s="15">
        <f>+COUNTA(A14:A27)</f>
        <v>9</v>
      </c>
      <c r="B28" s="14"/>
      <c r="C28" s="14"/>
      <c r="D28" s="14" t="s">
        <v>19</v>
      </c>
      <c r="E28" s="14"/>
      <c r="F28" s="16"/>
      <c r="G28" s="128">
        <f>G13+G17+G20+G23</f>
        <v>6222812992</v>
      </c>
      <c r="H28" s="16"/>
      <c r="I28" s="128">
        <f>I13+I17+I20+I23</f>
        <v>1711564245</v>
      </c>
      <c r="J28" s="16"/>
      <c r="K28" s="16"/>
      <c r="L28" s="17"/>
      <c r="M28" s="17">
        <f>M13+M17+M20+M23</f>
        <v>102862786</v>
      </c>
    </row>
    <row r="32" spans="1:14" x14ac:dyDescent="0.25">
      <c r="A32" s="4"/>
      <c r="C32" s="5"/>
      <c r="I32" s="112"/>
      <c r="K32" s="4"/>
      <c r="M32" s="112"/>
    </row>
    <row r="33" spans="1:14" ht="60" x14ac:dyDescent="0.25">
      <c r="A33" s="174" t="s">
        <v>5</v>
      </c>
      <c r="B33" s="174" t="s">
        <v>6</v>
      </c>
      <c r="C33" s="175" t="s">
        <v>7</v>
      </c>
      <c r="D33" s="174" t="s">
        <v>8</v>
      </c>
      <c r="E33" s="176" t="s">
        <v>9</v>
      </c>
      <c r="F33" s="176" t="s">
        <v>18</v>
      </c>
      <c r="G33" s="177" t="s">
        <v>10</v>
      </c>
      <c r="H33" s="177" t="s">
        <v>11</v>
      </c>
      <c r="I33" s="177" t="s">
        <v>12</v>
      </c>
      <c r="J33" s="178" t="s">
        <v>13</v>
      </c>
      <c r="K33" s="179" t="s">
        <v>14</v>
      </c>
      <c r="L33" s="179" t="s">
        <v>15</v>
      </c>
      <c r="M33" s="177" t="s">
        <v>16</v>
      </c>
      <c r="N33" s="179" t="s">
        <v>17</v>
      </c>
    </row>
    <row r="34" spans="1:14" x14ac:dyDescent="0.25">
      <c r="A34" s="185"/>
      <c r="B34" s="185"/>
      <c r="C34" s="185"/>
      <c r="D34" s="105" t="s">
        <v>66</v>
      </c>
      <c r="E34" s="185"/>
      <c r="F34" s="185"/>
      <c r="G34" s="97">
        <f>G36</f>
        <v>862528502</v>
      </c>
      <c r="H34" s="97"/>
      <c r="I34" s="97">
        <f>I36</f>
        <v>247850000</v>
      </c>
      <c r="J34" s="181"/>
      <c r="K34" s="182"/>
      <c r="L34" s="182"/>
      <c r="M34" s="97">
        <f>M36</f>
        <v>11045600</v>
      </c>
      <c r="N34" s="182"/>
    </row>
    <row r="35" spans="1:14" ht="30" x14ac:dyDescent="0.25">
      <c r="A35" s="69" t="s">
        <v>137</v>
      </c>
      <c r="B35" s="134">
        <v>48.59</v>
      </c>
      <c r="C35" s="172">
        <v>1429625241005</v>
      </c>
      <c r="D35" s="13" t="s">
        <v>138</v>
      </c>
      <c r="E35" s="85">
        <v>45356</v>
      </c>
      <c r="F35" s="85">
        <v>46258</v>
      </c>
      <c r="G35" s="130">
        <v>350925570</v>
      </c>
      <c r="H35" s="20">
        <f t="shared" ref="H35:H40" si="5">G35/B35</f>
        <v>7222176.785346779</v>
      </c>
      <c r="I35" s="20">
        <v>86828000</v>
      </c>
      <c r="J35" s="183">
        <f t="shared" ref="J35:J36" si="6">I35/G35</f>
        <v>0.24742568630721323</v>
      </c>
      <c r="K35" s="121">
        <v>4</v>
      </c>
      <c r="L35" s="121">
        <v>101</v>
      </c>
      <c r="M35" s="122">
        <v>839554</v>
      </c>
      <c r="N35" s="83" t="s">
        <v>443</v>
      </c>
    </row>
    <row r="36" spans="1:14" ht="45" x14ac:dyDescent="0.25">
      <c r="A36" s="69" t="s">
        <v>141</v>
      </c>
      <c r="B36" s="134">
        <v>97.96</v>
      </c>
      <c r="C36" s="172">
        <v>1429625230608</v>
      </c>
      <c r="D36" s="13" t="s">
        <v>142</v>
      </c>
      <c r="E36" s="85">
        <v>45503</v>
      </c>
      <c r="F36" s="85"/>
      <c r="G36" s="130">
        <v>862528502</v>
      </c>
      <c r="H36" s="20">
        <f t="shared" si="5"/>
        <v>8804905.0837076362</v>
      </c>
      <c r="I36" s="131">
        <v>247850000</v>
      </c>
      <c r="J36" s="183">
        <f t="shared" si="6"/>
        <v>0.2873528230374931</v>
      </c>
      <c r="K36" s="121">
        <v>5</v>
      </c>
      <c r="L36" s="121">
        <v>143</v>
      </c>
      <c r="M36" s="132">
        <v>11045600</v>
      </c>
      <c r="N36" s="83" t="s">
        <v>143</v>
      </c>
    </row>
    <row r="37" spans="1:14" x14ac:dyDescent="0.25">
      <c r="A37" s="64"/>
      <c r="B37" s="64"/>
      <c r="C37" s="64"/>
      <c r="D37" s="65" t="s">
        <v>65</v>
      </c>
      <c r="E37" s="64"/>
      <c r="F37" s="64"/>
      <c r="G37" s="93">
        <f>G38</f>
        <v>531752360</v>
      </c>
      <c r="H37" s="92"/>
      <c r="I37" s="93">
        <f>I38</f>
        <v>117812705</v>
      </c>
      <c r="J37" s="64"/>
      <c r="K37" s="64"/>
      <c r="L37" s="64"/>
      <c r="M37" s="125">
        <f>M38</f>
        <v>16245000</v>
      </c>
      <c r="N37" s="64"/>
    </row>
    <row r="38" spans="1:14" x14ac:dyDescent="0.25">
      <c r="A38" s="69" t="s">
        <v>139</v>
      </c>
      <c r="B38" s="69">
        <v>48.59</v>
      </c>
      <c r="C38" s="172" t="s">
        <v>444</v>
      </c>
      <c r="D38" s="13" t="s">
        <v>445</v>
      </c>
      <c r="E38" s="85">
        <v>46007</v>
      </c>
      <c r="F38" s="85">
        <v>46374</v>
      </c>
      <c r="G38" s="20">
        <v>531752360</v>
      </c>
      <c r="H38" s="20">
        <f t="shared" si="5"/>
        <v>10943658.365918912</v>
      </c>
      <c r="I38" s="140">
        <v>117812705</v>
      </c>
      <c r="J38" s="181"/>
      <c r="K38" s="13">
        <v>3</v>
      </c>
      <c r="L38" s="13">
        <v>61</v>
      </c>
      <c r="M38" s="20">
        <v>16245000</v>
      </c>
      <c r="N38" s="83" t="s">
        <v>446</v>
      </c>
    </row>
    <row r="39" spans="1:14" x14ac:dyDescent="0.25">
      <c r="A39" s="64"/>
      <c r="B39" s="64"/>
      <c r="C39" s="173"/>
      <c r="D39" s="65" t="s">
        <v>64</v>
      </c>
      <c r="E39" s="64"/>
      <c r="F39" s="64"/>
      <c r="G39" s="93">
        <f>G40</f>
        <v>531973411</v>
      </c>
      <c r="H39" s="92"/>
      <c r="I39" s="93">
        <f>I40</f>
        <v>156510000</v>
      </c>
      <c r="J39" s="64"/>
      <c r="K39" s="64"/>
      <c r="L39" s="64"/>
      <c r="M39" s="93">
        <f>M40</f>
        <v>4785031</v>
      </c>
      <c r="N39" s="64"/>
    </row>
    <row r="40" spans="1:14" x14ac:dyDescent="0.25">
      <c r="A40" s="13" t="s">
        <v>236</v>
      </c>
      <c r="B40" s="13">
        <v>75.31</v>
      </c>
      <c r="C40" s="172">
        <v>1429625221318</v>
      </c>
      <c r="D40" s="13" t="s">
        <v>268</v>
      </c>
      <c r="E40" s="13">
        <v>45759</v>
      </c>
      <c r="F40" s="13">
        <v>46234</v>
      </c>
      <c r="G40" s="20">
        <v>531973411</v>
      </c>
      <c r="H40" s="20">
        <f t="shared" si="5"/>
        <v>7063781.848360111</v>
      </c>
      <c r="I40" s="20">
        <v>156510000</v>
      </c>
      <c r="J40" s="183">
        <f t="shared" ref="J40" si="7">I40/G40</f>
        <v>0.29420643356177062</v>
      </c>
      <c r="K40" s="13">
        <v>2</v>
      </c>
      <c r="L40" s="13">
        <v>48</v>
      </c>
      <c r="M40" s="20">
        <v>4785031</v>
      </c>
      <c r="N40" s="83" t="s">
        <v>446</v>
      </c>
    </row>
    <row r="41" spans="1:14" x14ac:dyDescent="0.25">
      <c r="A41" s="13"/>
      <c r="B41" s="13"/>
      <c r="C41" s="13"/>
      <c r="D41" s="13"/>
      <c r="E41" s="13"/>
      <c r="F41" s="13"/>
      <c r="G41" s="20"/>
      <c r="H41" s="20"/>
      <c r="I41" s="20"/>
      <c r="J41" s="13"/>
      <c r="K41" s="13"/>
      <c r="L41" s="13"/>
      <c r="M41" s="20"/>
      <c r="N41" s="13"/>
    </row>
    <row r="42" spans="1:14" x14ac:dyDescent="0.25">
      <c r="A42" s="64"/>
      <c r="B42" s="64"/>
      <c r="C42" s="64"/>
      <c r="D42" s="65" t="s">
        <v>63</v>
      </c>
      <c r="E42" s="64"/>
      <c r="F42" s="64"/>
      <c r="G42" s="93">
        <f>G43</f>
        <v>773628417</v>
      </c>
      <c r="H42" s="92"/>
      <c r="I42" s="93">
        <f>I43</f>
        <v>229000000</v>
      </c>
      <c r="J42" s="64"/>
      <c r="K42" s="64"/>
      <c r="L42" s="64"/>
      <c r="M42" s="93">
        <f>M43</f>
        <v>1456800</v>
      </c>
      <c r="N42" s="64"/>
    </row>
    <row r="43" spans="1:14" x14ac:dyDescent="0.25">
      <c r="A43" s="69" t="s">
        <v>136</v>
      </c>
      <c r="B43" s="134">
        <v>110.8</v>
      </c>
      <c r="C43" s="84" t="s">
        <v>441</v>
      </c>
      <c r="D43" s="13" t="s">
        <v>442</v>
      </c>
      <c r="E43" s="75">
        <v>45358</v>
      </c>
      <c r="F43" s="13"/>
      <c r="G43" s="20">
        <v>773628417</v>
      </c>
      <c r="H43" s="20">
        <f t="shared" ref="H43" si="8">G43/B43</f>
        <v>6982205.9296028884</v>
      </c>
      <c r="I43" s="20">
        <v>229000000</v>
      </c>
      <c r="J43" s="183">
        <f t="shared" ref="J43" si="9">I43/G43</f>
        <v>0.29600774088421317</v>
      </c>
      <c r="K43" s="69">
        <v>1</v>
      </c>
      <c r="L43" s="69">
        <v>18</v>
      </c>
      <c r="M43" s="20">
        <v>1456800</v>
      </c>
      <c r="N43" s="83" t="s">
        <v>446</v>
      </c>
    </row>
    <row r="44" spans="1:14" x14ac:dyDescent="0.25">
      <c r="A44" s="15">
        <f>+COUNTA(A36:A43)</f>
        <v>4</v>
      </c>
      <c r="B44" s="14"/>
      <c r="C44" s="14"/>
      <c r="D44" s="14" t="s">
        <v>19</v>
      </c>
      <c r="E44" s="14"/>
      <c r="F44" s="16">
        <f>SUM(F38:F43)</f>
        <v>92608</v>
      </c>
      <c r="G44" s="128">
        <f>G34+G42+G37+G39</f>
        <v>2699882690</v>
      </c>
      <c r="H44" s="136"/>
      <c r="I44" s="128">
        <f>I34+I42+I37+I39</f>
        <v>751172705</v>
      </c>
      <c r="J44" s="16"/>
      <c r="K44" s="16"/>
      <c r="L44" s="17"/>
      <c r="M44" s="137">
        <f>M34+M37+M39+M42</f>
        <v>33532431</v>
      </c>
    </row>
    <row r="46" spans="1:14" x14ac:dyDescent="0.25">
      <c r="D46" s="19" t="s">
        <v>20</v>
      </c>
      <c r="E46" s="13">
        <v>72</v>
      </c>
    </row>
    <row r="47" spans="1:14" x14ac:dyDescent="0.25">
      <c r="D47" s="19" t="s">
        <v>21</v>
      </c>
      <c r="E47" s="13">
        <f>E46-E48</f>
        <v>5</v>
      </c>
    </row>
    <row r="48" spans="1:14" x14ac:dyDescent="0.25">
      <c r="D48" s="19" t="s">
        <v>22</v>
      </c>
      <c r="E48" s="13">
        <f>[3]KALA2!C70</f>
        <v>67</v>
      </c>
    </row>
    <row r="49" spans="4:5" x14ac:dyDescent="0.25">
      <c r="D49" s="19" t="s">
        <v>73</v>
      </c>
      <c r="E49" s="138">
        <f>[3]KALA2!L70</f>
        <v>71057486</v>
      </c>
    </row>
    <row r="50" spans="4:5" x14ac:dyDescent="0.25">
      <c r="D50" s="19" t="s">
        <v>413</v>
      </c>
      <c r="E50" s="138">
        <f>[3]KALA2!M70</f>
        <v>55827744</v>
      </c>
    </row>
    <row r="51" spans="4:5" x14ac:dyDescent="0.25">
      <c r="D51" s="19" t="s">
        <v>74</v>
      </c>
      <c r="E51" s="23">
        <f>[3]KALA2!N70</f>
        <v>14460888408.41</v>
      </c>
    </row>
    <row r="52" spans="4:5" x14ac:dyDescent="0.25">
      <c r="D52" s="19" t="s">
        <v>23</v>
      </c>
      <c r="E52" s="20">
        <f>E51+M28+M44</f>
        <v>14597283625.41</v>
      </c>
    </row>
    <row r="53" spans="4:5" x14ac:dyDescent="0.25">
      <c r="D53" s="19" t="s">
        <v>24</v>
      </c>
      <c r="E53" s="21">
        <f>M28+M44</f>
        <v>136395217</v>
      </c>
    </row>
    <row r="54" spans="4:5" x14ac:dyDescent="0.25">
      <c r="D54" s="19" t="s">
        <v>25</v>
      </c>
      <c r="E54" s="22">
        <f>E53/E52</f>
        <v>9.3438766074649734E-3</v>
      </c>
    </row>
    <row r="55" spans="4:5" x14ac:dyDescent="0.25">
      <c r="D55" s="19" t="s">
        <v>26</v>
      </c>
      <c r="E55" s="21">
        <f>[3]KALA2!R16</f>
        <v>17592844</v>
      </c>
    </row>
    <row r="56" spans="4:5" x14ac:dyDescent="0.25">
      <c r="D56" s="19" t="s">
        <v>27</v>
      </c>
      <c r="E56" s="22">
        <f>E55/E52</f>
        <v>1.2052135487300886E-3</v>
      </c>
    </row>
    <row r="57" spans="4:5" x14ac:dyDescent="0.25">
      <c r="D57" s="19" t="s">
        <v>28</v>
      </c>
      <c r="E57" s="21">
        <f>M44</f>
        <v>33532431</v>
      </c>
    </row>
    <row r="58" spans="4:5" x14ac:dyDescent="0.25">
      <c r="D58" s="19" t="s">
        <v>29</v>
      </c>
      <c r="E58" s="21">
        <f>M28</f>
        <v>102862786</v>
      </c>
    </row>
    <row r="59" spans="4:5" x14ac:dyDescent="0.25">
      <c r="D59" s="19" t="s">
        <v>30</v>
      </c>
      <c r="E59" s="22">
        <f>E58/E52</f>
        <v>7.0467073627961275E-3</v>
      </c>
    </row>
    <row r="60" spans="4:5" x14ac:dyDescent="0.25">
      <c r="D60" s="19" t="s">
        <v>430</v>
      </c>
      <c r="E60" s="73">
        <f>A28+A44</f>
        <v>13</v>
      </c>
    </row>
    <row r="61" spans="4:5" x14ac:dyDescent="0.25">
      <c r="D61" s="1"/>
      <c r="E61" s="28"/>
    </row>
    <row r="63" spans="4:5" x14ac:dyDescent="0.25">
      <c r="D63" s="19" t="s">
        <v>31</v>
      </c>
      <c r="E63" s="23">
        <v>0</v>
      </c>
    </row>
    <row r="64" spans="4:5" x14ac:dyDescent="0.25">
      <c r="D64" s="19" t="s">
        <v>32</v>
      </c>
      <c r="E64" s="24">
        <f>M44</f>
        <v>33532431</v>
      </c>
    </row>
    <row r="65" spans="4:5" x14ac:dyDescent="0.25">
      <c r="D65" s="19" t="s">
        <v>33</v>
      </c>
      <c r="E65" s="24">
        <v>0</v>
      </c>
    </row>
    <row r="66" spans="4:5" x14ac:dyDescent="0.25">
      <c r="D66" s="19" t="s">
        <v>34</v>
      </c>
      <c r="E66" s="24">
        <v>0</v>
      </c>
    </row>
    <row r="67" spans="4:5" x14ac:dyDescent="0.25">
      <c r="D67" s="19" t="s">
        <v>36</v>
      </c>
      <c r="E67" s="24"/>
    </row>
    <row r="68" spans="4:5" x14ac:dyDescent="0.25">
      <c r="D68" s="29"/>
      <c r="E68" s="29"/>
    </row>
    <row r="69" spans="4:5" x14ac:dyDescent="0.25">
      <c r="D69" s="25" t="s">
        <v>447</v>
      </c>
      <c r="E69" s="26">
        <v>7.0000000000000001E-3</v>
      </c>
    </row>
  </sheetData>
  <mergeCells count="1">
    <mergeCell ref="D3:F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C9FD9-FA1C-4E1C-8D4A-C2549A119AF0}">
  <dimension ref="B1:Q67"/>
  <sheetViews>
    <sheetView topLeftCell="A10" zoomScale="70" zoomScaleNormal="70" workbookViewId="0">
      <selection activeCell="E33" sqref="E33"/>
    </sheetView>
  </sheetViews>
  <sheetFormatPr baseColWidth="10" defaultRowHeight="15" x14ac:dyDescent="0.25"/>
  <cols>
    <col min="1" max="1" width="4.85546875" customWidth="1"/>
    <col min="2" max="2" width="7.140625" customWidth="1"/>
    <col min="3" max="3" width="7.7109375" customWidth="1"/>
    <col min="4" max="4" width="18.28515625" customWidth="1"/>
    <col min="5" max="5" width="28.7109375" customWidth="1"/>
    <col min="6" max="6" width="17.85546875" customWidth="1"/>
    <col min="7" max="7" width="12.5703125" customWidth="1"/>
    <col min="8" max="8" width="18.140625" style="96" customWidth="1"/>
    <col min="9" max="9" width="14.7109375" style="96" bestFit="1" customWidth="1"/>
    <col min="10" max="10" width="16.85546875" style="96" customWidth="1"/>
    <col min="11" max="11" width="8.28515625" customWidth="1"/>
    <col min="12" max="12" width="6.140625" customWidth="1"/>
    <col min="13" max="13" width="5.28515625" customWidth="1"/>
    <col min="14" max="14" width="17.5703125" style="96" customWidth="1"/>
    <col min="15" max="15" width="46.140625" bestFit="1" customWidth="1"/>
    <col min="16" max="16" width="11.5703125" hidden="1" customWidth="1"/>
  </cols>
  <sheetData>
    <row r="1" spans="2:15" x14ac:dyDescent="0.25">
      <c r="D1" s="1" t="s">
        <v>0</v>
      </c>
      <c r="I1" s="2" t="s">
        <v>242</v>
      </c>
    </row>
    <row r="2" spans="2:15" x14ac:dyDescent="0.25">
      <c r="D2" s="1" t="s">
        <v>1</v>
      </c>
    </row>
    <row r="3" spans="2:15" x14ac:dyDescent="0.25">
      <c r="D3" s="3"/>
      <c r="E3" s="218" t="s">
        <v>415</v>
      </c>
      <c r="F3" s="218"/>
      <c r="G3" s="219"/>
    </row>
    <row r="5" spans="2:15" ht="15.75" thickBot="1" x14ac:dyDescent="0.3"/>
    <row r="6" spans="2:15" x14ac:dyDescent="0.25">
      <c r="B6" s="4"/>
      <c r="D6" s="5"/>
      <c r="E6" s="53" t="s">
        <v>63</v>
      </c>
      <c r="F6" s="47"/>
      <c r="G6" s="47"/>
      <c r="H6" s="109"/>
      <c r="I6" s="109"/>
      <c r="J6" s="110"/>
      <c r="K6" s="47"/>
      <c r="L6" s="49"/>
      <c r="M6" s="47"/>
      <c r="N6" s="111">
        <f>N23</f>
        <v>0</v>
      </c>
    </row>
    <row r="7" spans="2:15" x14ac:dyDescent="0.25">
      <c r="B7" s="4"/>
      <c r="D7" s="5"/>
      <c r="E7" s="54" t="s">
        <v>64</v>
      </c>
      <c r="J7" s="112"/>
      <c r="L7" s="4"/>
      <c r="N7" s="113">
        <f>N21</f>
        <v>1677600</v>
      </c>
    </row>
    <row r="8" spans="2:15" x14ac:dyDescent="0.25">
      <c r="B8" s="4"/>
      <c r="D8" s="5"/>
      <c r="E8" s="54" t="s">
        <v>65</v>
      </c>
      <c r="J8" s="112"/>
      <c r="L8" s="4"/>
      <c r="N8" s="113">
        <f>N18</f>
        <v>9716933</v>
      </c>
    </row>
    <row r="9" spans="2:15" ht="15.75" thickBot="1" x14ac:dyDescent="0.3">
      <c r="B9" s="4"/>
      <c r="D9" s="5"/>
      <c r="E9" s="55" t="s">
        <v>66</v>
      </c>
      <c r="F9" s="50"/>
      <c r="G9" s="50"/>
      <c r="H9" s="114"/>
      <c r="I9" s="114"/>
      <c r="J9" s="115"/>
      <c r="K9" s="50"/>
      <c r="L9" s="52"/>
      <c r="M9" s="50"/>
      <c r="N9" s="116">
        <f>N13</f>
        <v>17627300</v>
      </c>
    </row>
    <row r="10" spans="2:15" x14ac:dyDescent="0.25">
      <c r="B10" s="4"/>
      <c r="D10" s="5"/>
    </row>
    <row r="11" spans="2:15" x14ac:dyDescent="0.25">
      <c r="B11" s="1" t="s">
        <v>2</v>
      </c>
      <c r="D11" s="5"/>
      <c r="J11" s="112"/>
      <c r="L11" s="4"/>
      <c r="N11" s="112"/>
    </row>
    <row r="12" spans="2:15" ht="40.5" x14ac:dyDescent="0.25">
      <c r="B12" s="7" t="s">
        <v>5</v>
      </c>
      <c r="C12" s="7" t="s">
        <v>6</v>
      </c>
      <c r="D12" s="10" t="s">
        <v>7</v>
      </c>
      <c r="E12" s="7" t="s">
        <v>8</v>
      </c>
      <c r="F12" s="9" t="s">
        <v>9</v>
      </c>
      <c r="G12" s="9" t="s">
        <v>18</v>
      </c>
      <c r="H12" s="117" t="s">
        <v>10</v>
      </c>
      <c r="I12" s="117" t="s">
        <v>11</v>
      </c>
      <c r="J12" s="117" t="s">
        <v>12</v>
      </c>
      <c r="K12" s="11" t="s">
        <v>13</v>
      </c>
      <c r="L12" s="8" t="s">
        <v>14</v>
      </c>
      <c r="M12" s="8" t="s">
        <v>15</v>
      </c>
      <c r="N12" s="117" t="s">
        <v>16</v>
      </c>
      <c r="O12" s="8" t="s">
        <v>17</v>
      </c>
    </row>
    <row r="13" spans="2:15" x14ac:dyDescent="0.25">
      <c r="B13" s="118"/>
      <c r="C13" s="118"/>
      <c r="D13" s="118"/>
      <c r="E13" s="58" t="str">
        <f>E9</f>
        <v xml:space="preserve">Cartera Mayor de 90 dias </v>
      </c>
      <c r="F13" s="118"/>
      <c r="G13" s="118"/>
      <c r="H13" s="91">
        <f>H14+H15+H16+H17</f>
        <v>1861067341</v>
      </c>
      <c r="I13" s="91"/>
      <c r="J13" s="91">
        <f>+J14+J15++J16+J17</f>
        <v>709991971</v>
      </c>
      <c r="K13" s="63"/>
      <c r="L13" s="61"/>
      <c r="M13" s="61"/>
      <c r="N13" s="91">
        <f>N14+N15+N16+N17</f>
        <v>17627300</v>
      </c>
      <c r="O13" s="61"/>
    </row>
    <row r="14" spans="2:15" ht="75" x14ac:dyDescent="0.25">
      <c r="B14" s="13" t="s">
        <v>147</v>
      </c>
      <c r="C14" s="13">
        <v>70.819999999999993</v>
      </c>
      <c r="D14" s="66" t="s">
        <v>244</v>
      </c>
      <c r="E14" s="86" t="s">
        <v>245</v>
      </c>
      <c r="F14" s="119">
        <v>45287</v>
      </c>
      <c r="G14" s="119">
        <v>46280</v>
      </c>
      <c r="H14" s="20">
        <v>715282004</v>
      </c>
      <c r="I14" s="20">
        <f t="shared" ref="I14:I22" si="0">H14/C14</f>
        <v>10100000.056481222</v>
      </c>
      <c r="J14" s="20">
        <v>206516868</v>
      </c>
      <c r="K14" s="120">
        <f t="shared" ref="K14:K22" si="1">J14/H14</f>
        <v>0.28872090566394287</v>
      </c>
      <c r="L14" s="121">
        <v>6</v>
      </c>
      <c r="M14" s="121">
        <v>163</v>
      </c>
      <c r="N14" s="122">
        <v>6915300</v>
      </c>
      <c r="O14" s="133" t="s">
        <v>476</v>
      </c>
    </row>
    <row r="15" spans="2:15" ht="60" x14ac:dyDescent="0.25">
      <c r="B15" s="13" t="s">
        <v>146</v>
      </c>
      <c r="C15" s="13">
        <v>48.59</v>
      </c>
      <c r="D15" s="66" t="s">
        <v>246</v>
      </c>
      <c r="E15" s="86" t="s">
        <v>247</v>
      </c>
      <c r="F15" s="119">
        <v>45355</v>
      </c>
      <c r="G15" s="119">
        <v>46265</v>
      </c>
      <c r="H15" s="20">
        <v>323872054</v>
      </c>
      <c r="I15" s="20">
        <f t="shared" si="0"/>
        <v>6665405.5155381765</v>
      </c>
      <c r="J15" s="20">
        <v>93781299</v>
      </c>
      <c r="K15" s="120">
        <f t="shared" si="1"/>
        <v>0.28956280062373024</v>
      </c>
      <c r="L15" s="121">
        <v>5</v>
      </c>
      <c r="M15" s="121">
        <v>138</v>
      </c>
      <c r="N15" s="122">
        <v>2817000</v>
      </c>
      <c r="O15" s="123" t="s">
        <v>477</v>
      </c>
    </row>
    <row r="16" spans="2:15" ht="37.9" customHeight="1" x14ac:dyDescent="0.25">
      <c r="B16" s="13" t="s">
        <v>148</v>
      </c>
      <c r="C16" s="13">
        <v>49</v>
      </c>
      <c r="D16" s="66" t="s">
        <v>251</v>
      </c>
      <c r="E16" s="86" t="s">
        <v>252</v>
      </c>
      <c r="F16" s="119">
        <v>45343</v>
      </c>
      <c r="G16" s="119">
        <v>46325</v>
      </c>
      <c r="H16" s="20">
        <v>277177101</v>
      </c>
      <c r="I16" s="20">
        <f t="shared" si="0"/>
        <v>5656675.5306122452</v>
      </c>
      <c r="J16" s="20">
        <v>275745519</v>
      </c>
      <c r="K16" s="120">
        <f t="shared" si="1"/>
        <v>0.99483513611032393</v>
      </c>
      <c r="L16" s="121">
        <v>5</v>
      </c>
      <c r="M16" s="121">
        <v>129</v>
      </c>
      <c r="N16" s="122">
        <v>895000</v>
      </c>
      <c r="O16" s="83" t="s">
        <v>253</v>
      </c>
    </row>
    <row r="17" spans="2:17" ht="30" x14ac:dyDescent="0.25">
      <c r="B17" s="13" t="s">
        <v>140</v>
      </c>
      <c r="C17" s="13">
        <v>89.35</v>
      </c>
      <c r="D17" s="66" t="s">
        <v>254</v>
      </c>
      <c r="E17" s="86" t="s">
        <v>255</v>
      </c>
      <c r="F17" s="119">
        <v>45103</v>
      </c>
      <c r="G17" s="119">
        <v>46378</v>
      </c>
      <c r="H17" s="20">
        <v>544736182</v>
      </c>
      <c r="I17" s="20">
        <f t="shared" si="0"/>
        <v>6096655.6463346398</v>
      </c>
      <c r="J17" s="20">
        <v>133948285</v>
      </c>
      <c r="K17" s="120">
        <f t="shared" si="1"/>
        <v>0.24589570038878011</v>
      </c>
      <c r="L17" s="121">
        <v>5</v>
      </c>
      <c r="M17" s="121">
        <v>122</v>
      </c>
      <c r="N17" s="122">
        <v>7000000</v>
      </c>
      <c r="O17" s="83" t="s">
        <v>405</v>
      </c>
      <c r="P17" t="s">
        <v>256</v>
      </c>
      <c r="Q17" t="s">
        <v>406</v>
      </c>
    </row>
    <row r="18" spans="2:17" x14ac:dyDescent="0.25">
      <c r="B18" s="124"/>
      <c r="C18" s="124"/>
      <c r="D18" s="124"/>
      <c r="E18" s="65" t="str">
        <f>E8</f>
        <v xml:space="preserve">Cartera de 61 a 90 dias </v>
      </c>
      <c r="F18" s="124"/>
      <c r="G18" s="124"/>
      <c r="H18" s="93">
        <f>H19+H20</f>
        <v>869218403</v>
      </c>
      <c r="I18" s="92"/>
      <c r="J18" s="93">
        <f>J19+J20</f>
        <v>240274999</v>
      </c>
      <c r="K18" s="120"/>
      <c r="L18" s="64"/>
      <c r="M18" s="64"/>
      <c r="N18" s="125">
        <f>N19+N20</f>
        <v>9716933</v>
      </c>
      <c r="O18" s="64"/>
    </row>
    <row r="19" spans="2:17" ht="30" x14ac:dyDescent="0.25">
      <c r="B19" s="13" t="s">
        <v>149</v>
      </c>
      <c r="C19" s="13">
        <v>55.43</v>
      </c>
      <c r="D19" s="66" t="s">
        <v>257</v>
      </c>
      <c r="E19" s="126" t="s">
        <v>258</v>
      </c>
      <c r="F19" s="119">
        <v>45404</v>
      </c>
      <c r="G19" s="119">
        <v>46316</v>
      </c>
      <c r="H19" s="20">
        <v>472398628</v>
      </c>
      <c r="I19" s="20">
        <f t="shared" si="0"/>
        <v>8522436.0093812011</v>
      </c>
      <c r="J19" s="20">
        <v>132284999</v>
      </c>
      <c r="K19" s="120">
        <f t="shared" si="1"/>
        <v>0.28002833022622581</v>
      </c>
      <c r="L19" s="69">
        <v>3</v>
      </c>
      <c r="M19" s="69">
        <v>88</v>
      </c>
      <c r="N19" s="122">
        <v>5661000</v>
      </c>
      <c r="O19" s="83" t="s">
        <v>407</v>
      </c>
    </row>
    <row r="20" spans="2:17" ht="45" x14ac:dyDescent="0.25">
      <c r="B20" s="13" t="s">
        <v>139</v>
      </c>
      <c r="C20" s="13">
        <v>48.59</v>
      </c>
      <c r="D20" s="66" t="s">
        <v>248</v>
      </c>
      <c r="E20" s="13" t="s">
        <v>249</v>
      </c>
      <c r="F20" s="119">
        <v>45316</v>
      </c>
      <c r="G20" s="119">
        <v>46239</v>
      </c>
      <c r="H20" s="20">
        <v>396819775</v>
      </c>
      <c r="I20" s="20">
        <f t="shared" si="0"/>
        <v>8166696.3366947928</v>
      </c>
      <c r="J20" s="20">
        <v>107990000</v>
      </c>
      <c r="K20" s="120">
        <f t="shared" si="1"/>
        <v>0.27213865538833087</v>
      </c>
      <c r="L20" s="69">
        <v>3</v>
      </c>
      <c r="M20" s="69">
        <v>73</v>
      </c>
      <c r="N20" s="122">
        <v>4055933</v>
      </c>
      <c r="O20" s="83" t="s">
        <v>408</v>
      </c>
    </row>
    <row r="21" spans="2:17" x14ac:dyDescent="0.25">
      <c r="B21" s="124"/>
      <c r="C21" s="124"/>
      <c r="D21" s="124"/>
      <c r="E21" s="65" t="str">
        <f>E7</f>
        <v xml:space="preserve">Catera de 31 a 60dias </v>
      </c>
      <c r="F21" s="124"/>
      <c r="G21" s="124"/>
      <c r="H21" s="93"/>
      <c r="I21" s="92"/>
      <c r="J21" s="93"/>
      <c r="K21" s="120"/>
      <c r="L21" s="64"/>
      <c r="M21" s="64"/>
      <c r="N21" s="93">
        <f>N22</f>
        <v>1677600</v>
      </c>
      <c r="O21" s="64"/>
    </row>
    <row r="22" spans="2:17" ht="30" x14ac:dyDescent="0.25">
      <c r="B22" s="13" t="s">
        <v>239</v>
      </c>
      <c r="C22" s="13">
        <v>89.35</v>
      </c>
      <c r="D22" s="66" t="s">
        <v>259</v>
      </c>
      <c r="E22" s="13" t="s">
        <v>260</v>
      </c>
      <c r="F22" s="119">
        <v>45434</v>
      </c>
      <c r="G22" s="119"/>
      <c r="H22" s="20">
        <v>845524543</v>
      </c>
      <c r="I22" s="20">
        <f t="shared" si="0"/>
        <v>9463061.4773363192</v>
      </c>
      <c r="J22" s="20">
        <v>251295000</v>
      </c>
      <c r="K22" s="120">
        <f t="shared" si="1"/>
        <v>0.29720603864245249</v>
      </c>
      <c r="L22" s="69">
        <v>2</v>
      </c>
      <c r="M22" s="69">
        <v>42</v>
      </c>
      <c r="N22" s="20">
        <v>1677600</v>
      </c>
      <c r="O22" s="83" t="s">
        <v>261</v>
      </c>
    </row>
    <row r="23" spans="2:17" x14ac:dyDescent="0.25">
      <c r="B23" s="124"/>
      <c r="C23" s="124"/>
      <c r="D23" s="124"/>
      <c r="E23" s="65" t="str">
        <f>E6</f>
        <v xml:space="preserve">Cartera de 6 a 30 dias </v>
      </c>
      <c r="F23" s="124"/>
      <c r="G23" s="124"/>
      <c r="H23" s="93">
        <f>H24</f>
        <v>0</v>
      </c>
      <c r="I23" s="92"/>
      <c r="J23" s="93">
        <f>J24</f>
        <v>0</v>
      </c>
      <c r="K23" s="120"/>
      <c r="L23" s="87"/>
      <c r="M23" s="87"/>
      <c r="N23" s="93">
        <f>N24</f>
        <v>0</v>
      </c>
      <c r="O23" s="64"/>
    </row>
    <row r="24" spans="2:17" ht="31.9" customHeight="1" x14ac:dyDescent="0.25">
      <c r="B24" s="13"/>
      <c r="C24" s="13"/>
      <c r="D24" s="127"/>
      <c r="E24" s="83"/>
      <c r="F24" s="119"/>
      <c r="G24" s="119"/>
      <c r="H24" s="20"/>
      <c r="I24" s="20"/>
      <c r="J24" s="20"/>
      <c r="K24" s="120" t="e">
        <f t="shared" ref="K24" si="2">J24/H24</f>
        <v>#DIV/0!</v>
      </c>
      <c r="L24" s="69"/>
      <c r="M24" s="69"/>
      <c r="N24" s="20"/>
      <c r="O24" s="83"/>
    </row>
    <row r="25" spans="2:17" ht="18.600000000000001" customHeight="1" x14ac:dyDescent="0.25">
      <c r="B25" s="13"/>
      <c r="C25" s="13"/>
      <c r="D25" s="66"/>
      <c r="E25" s="83"/>
      <c r="F25" s="119"/>
      <c r="G25" s="119"/>
      <c r="H25" s="20"/>
      <c r="I25" s="20"/>
      <c r="J25" s="20"/>
      <c r="K25" s="120"/>
      <c r="L25" s="69"/>
      <c r="M25" s="69"/>
      <c r="N25" s="20"/>
      <c r="O25" s="13"/>
    </row>
    <row r="26" spans="2:17" x14ac:dyDescent="0.25">
      <c r="B26" s="15">
        <f>+COUNTA(B14:B25)</f>
        <v>7</v>
      </c>
      <c r="C26" s="14"/>
      <c r="D26" s="14"/>
      <c r="E26" s="14" t="s">
        <v>19</v>
      </c>
      <c r="F26" s="14"/>
      <c r="G26" s="16"/>
      <c r="H26" s="128">
        <f>H13+H18+H21+H23</f>
        <v>2730285744</v>
      </c>
      <c r="I26" s="16"/>
      <c r="J26" s="128">
        <f>J13+J18+J21+J23</f>
        <v>950266970</v>
      </c>
      <c r="K26" s="16"/>
      <c r="L26" s="16"/>
      <c r="M26" s="17"/>
      <c r="N26" s="17">
        <f>N13+N18+N21+N23</f>
        <v>29021833</v>
      </c>
    </row>
    <row r="30" spans="2:17" x14ac:dyDescent="0.25">
      <c r="B30" s="4"/>
      <c r="D30" s="5"/>
      <c r="J30" s="112"/>
      <c r="L30" s="4"/>
      <c r="N30" s="112"/>
    </row>
    <row r="31" spans="2:17" ht="40.5" x14ac:dyDescent="0.25">
      <c r="B31" s="7" t="s">
        <v>5</v>
      </c>
      <c r="C31" s="7" t="s">
        <v>6</v>
      </c>
      <c r="D31" s="10" t="s">
        <v>7</v>
      </c>
      <c r="E31" s="7" t="s">
        <v>8</v>
      </c>
      <c r="F31" s="9" t="s">
        <v>9</v>
      </c>
      <c r="G31" s="9" t="s">
        <v>18</v>
      </c>
      <c r="H31" s="117" t="s">
        <v>10</v>
      </c>
      <c r="I31" s="117" t="s">
        <v>11</v>
      </c>
      <c r="J31" s="117" t="s">
        <v>12</v>
      </c>
      <c r="K31" s="11" t="s">
        <v>13</v>
      </c>
      <c r="L31" s="8" t="s">
        <v>14</v>
      </c>
      <c r="M31" s="8" t="s">
        <v>15</v>
      </c>
      <c r="N31" s="117" t="s">
        <v>16</v>
      </c>
      <c r="O31" s="8" t="s">
        <v>17</v>
      </c>
    </row>
    <row r="32" spans="2:17" x14ac:dyDescent="0.25">
      <c r="B32" s="60"/>
      <c r="C32" s="60"/>
      <c r="D32" s="60"/>
      <c r="E32" s="58" t="s">
        <v>66</v>
      </c>
      <c r="F32" s="60"/>
      <c r="G32" s="60"/>
      <c r="H32" s="91">
        <f>H34+H33</f>
        <v>703002712</v>
      </c>
      <c r="I32" s="91"/>
      <c r="J32" s="91">
        <f>J34+J33</f>
        <v>196783495</v>
      </c>
      <c r="K32" s="63"/>
      <c r="L32" s="61"/>
      <c r="M32" s="61"/>
      <c r="N32" s="91">
        <f>N34+N33</f>
        <v>2081700</v>
      </c>
      <c r="O32" s="61"/>
    </row>
    <row r="33" spans="2:17" ht="26.45" customHeight="1" x14ac:dyDescent="0.25">
      <c r="B33" s="69" t="s">
        <v>158</v>
      </c>
      <c r="C33" s="69">
        <v>48.59</v>
      </c>
      <c r="D33" s="84" t="s">
        <v>409</v>
      </c>
      <c r="E33" s="83" t="s">
        <v>410</v>
      </c>
      <c r="F33" s="85">
        <v>45301</v>
      </c>
      <c r="G33" s="85">
        <v>46265</v>
      </c>
      <c r="H33" s="20">
        <v>299247054</v>
      </c>
      <c r="I33" s="20">
        <f t="shared" ref="I33:I36" si="3">H33/C33</f>
        <v>6158613.9946491048</v>
      </c>
      <c r="J33" s="20">
        <v>88885599</v>
      </c>
      <c r="K33" s="120"/>
      <c r="L33" s="13">
        <v>1</v>
      </c>
      <c r="M33" s="13">
        <v>5</v>
      </c>
      <c r="N33" s="20">
        <v>444300</v>
      </c>
      <c r="O33" s="83" t="s">
        <v>411</v>
      </c>
      <c r="P33" s="133"/>
      <c r="Q33" t="s">
        <v>412</v>
      </c>
    </row>
    <row r="34" spans="2:17" ht="40.9" customHeight="1" x14ac:dyDescent="0.25">
      <c r="B34" s="69" t="s">
        <v>150</v>
      </c>
      <c r="C34" s="69">
        <v>65.569999999999993</v>
      </c>
      <c r="D34" s="84" t="s">
        <v>262</v>
      </c>
      <c r="E34" s="83" t="s">
        <v>263</v>
      </c>
      <c r="F34" s="85">
        <v>45449</v>
      </c>
      <c r="G34" s="85">
        <v>46283</v>
      </c>
      <c r="H34" s="20">
        <v>403755658</v>
      </c>
      <c r="I34" s="20">
        <f t="shared" si="3"/>
        <v>6157627.8481012667</v>
      </c>
      <c r="J34" s="20">
        <v>107897896</v>
      </c>
      <c r="K34" s="120">
        <f t="shared" ref="K34:K36" si="4">J34/H34</f>
        <v>0.26723562595870792</v>
      </c>
      <c r="L34" s="13">
        <v>3</v>
      </c>
      <c r="M34" s="13">
        <v>91</v>
      </c>
      <c r="N34" s="20">
        <v>1637400</v>
      </c>
      <c r="O34" s="83" t="s">
        <v>264</v>
      </c>
      <c r="P34" s="133" t="s">
        <v>167</v>
      </c>
    </row>
    <row r="35" spans="2:17" x14ac:dyDescent="0.25">
      <c r="B35" s="64"/>
      <c r="C35" s="64"/>
      <c r="D35" s="64"/>
      <c r="E35" s="65" t="s">
        <v>65</v>
      </c>
      <c r="F35" s="64"/>
      <c r="G35" s="64"/>
      <c r="H35" s="93">
        <f>H36</f>
        <v>0</v>
      </c>
      <c r="I35" s="92"/>
      <c r="J35" s="93">
        <f>J36</f>
        <v>0</v>
      </c>
      <c r="K35" s="64"/>
      <c r="L35" s="64"/>
      <c r="M35" s="64"/>
      <c r="N35" s="125">
        <f>N36</f>
        <v>0</v>
      </c>
      <c r="O35" s="64"/>
    </row>
    <row r="36" spans="2:17" ht="25.9" customHeight="1" x14ac:dyDescent="0.25">
      <c r="B36" s="69"/>
      <c r="C36" s="69"/>
      <c r="D36" s="84"/>
      <c r="E36" s="83"/>
      <c r="F36" s="85"/>
      <c r="G36" s="85"/>
      <c r="H36" s="20"/>
      <c r="I36" s="20" t="e">
        <f t="shared" si="3"/>
        <v>#DIV/0!</v>
      </c>
      <c r="J36" s="20"/>
      <c r="K36" s="120" t="e">
        <f t="shared" si="4"/>
        <v>#DIV/0!</v>
      </c>
      <c r="L36" s="13"/>
      <c r="M36" s="13"/>
      <c r="N36" s="20"/>
      <c r="O36" s="83"/>
    </row>
    <row r="37" spans="2:17" x14ac:dyDescent="0.25">
      <c r="B37" s="64"/>
      <c r="C37" s="64"/>
      <c r="D37" s="64"/>
      <c r="E37" s="65" t="s">
        <v>64</v>
      </c>
      <c r="F37" s="64"/>
      <c r="G37" s="64"/>
      <c r="H37" s="92"/>
      <c r="I37" s="92"/>
      <c r="J37" s="92"/>
      <c r="K37" s="64"/>
      <c r="L37" s="64"/>
      <c r="M37" s="64"/>
      <c r="N37" s="92" cm="1">
        <f t="array" aca="1" ref="N37:N39" ca="1">N38:N40</f>
        <v>0</v>
      </c>
      <c r="O37" s="64"/>
    </row>
    <row r="38" spans="2:17" x14ac:dyDescent="0.25">
      <c r="B38" s="13"/>
      <c r="C38" s="13"/>
      <c r="D38" s="13"/>
      <c r="E38" s="13"/>
      <c r="F38" s="13"/>
      <c r="G38" s="13"/>
      <c r="H38" s="20"/>
      <c r="I38" s="20"/>
      <c r="J38" s="20"/>
      <c r="K38" s="13"/>
      <c r="L38" s="13"/>
      <c r="M38" s="13"/>
      <c r="N38" s="20">
        <f ca="1"/>
        <v>0</v>
      </c>
      <c r="O38" s="13"/>
    </row>
    <row r="39" spans="2:17" x14ac:dyDescent="0.25">
      <c r="B39" s="13"/>
      <c r="C39" s="13"/>
      <c r="D39" s="13"/>
      <c r="E39" s="13"/>
      <c r="F39" s="13"/>
      <c r="G39" s="13"/>
      <c r="H39" s="20"/>
      <c r="I39" s="20"/>
      <c r="J39" s="20"/>
      <c r="K39" s="13"/>
      <c r="L39" s="13"/>
      <c r="M39" s="13"/>
      <c r="N39" s="20">
        <f ca="1"/>
        <v>0</v>
      </c>
      <c r="O39" s="13"/>
    </row>
    <row r="40" spans="2:17" x14ac:dyDescent="0.25">
      <c r="B40" s="64"/>
      <c r="C40" s="64"/>
      <c r="D40" s="64"/>
      <c r="E40" s="65" t="s">
        <v>63</v>
      </c>
      <c r="F40" s="64"/>
      <c r="G40" s="64"/>
      <c r="H40" s="93">
        <f>H41</f>
        <v>0</v>
      </c>
      <c r="I40" s="92"/>
      <c r="J40" s="93">
        <f>J41</f>
        <v>0</v>
      </c>
      <c r="K40" s="64"/>
      <c r="L40" s="64"/>
      <c r="M40" s="64"/>
      <c r="N40" s="93">
        <f>N41</f>
        <v>0</v>
      </c>
      <c r="O40" s="64"/>
    </row>
    <row r="41" spans="2:17" x14ac:dyDescent="0.25">
      <c r="B41" s="69"/>
      <c r="C41" s="134"/>
      <c r="D41" s="84"/>
      <c r="E41" s="13"/>
      <c r="F41" s="75"/>
      <c r="G41" s="13"/>
      <c r="H41" s="20"/>
      <c r="I41" s="20"/>
      <c r="J41" s="135"/>
      <c r="K41" s="120" t="e">
        <f t="shared" ref="K41" si="5">J41/H41</f>
        <v>#DIV/0!</v>
      </c>
      <c r="L41" s="13"/>
      <c r="M41" s="13"/>
      <c r="N41" s="20"/>
      <c r="O41" s="83"/>
    </row>
    <row r="42" spans="2:17" x14ac:dyDescent="0.25">
      <c r="B42" s="15">
        <f>+COUNTA(B34:B41)</f>
        <v>1</v>
      </c>
      <c r="C42" s="14"/>
      <c r="D42" s="14"/>
      <c r="E42" s="14" t="s">
        <v>19</v>
      </c>
      <c r="F42" s="14"/>
      <c r="G42" s="16"/>
      <c r="H42" s="128">
        <f>H32+H35+H40</f>
        <v>703002712</v>
      </c>
      <c r="I42" s="136"/>
      <c r="J42" s="128">
        <f>J32+J35+J40</f>
        <v>196783495</v>
      </c>
      <c r="K42" s="16"/>
      <c r="L42" s="16"/>
      <c r="M42" s="17"/>
      <c r="N42" s="137">
        <f>N32+N35+N40</f>
        <v>2081700</v>
      </c>
    </row>
    <row r="44" spans="2:17" x14ac:dyDescent="0.25">
      <c r="E44" s="18" t="s">
        <v>20</v>
      </c>
      <c r="F44" s="13">
        <v>85</v>
      </c>
    </row>
    <row r="45" spans="2:17" x14ac:dyDescent="0.25">
      <c r="E45" s="18" t="s">
        <v>21</v>
      </c>
      <c r="F45" s="13">
        <f>F44-F46</f>
        <v>1</v>
      </c>
    </row>
    <row r="46" spans="2:17" x14ac:dyDescent="0.25">
      <c r="E46" s="19" t="s">
        <v>22</v>
      </c>
      <c r="F46" s="13">
        <f>[4]Hoja2!B87</f>
        <v>84</v>
      </c>
    </row>
    <row r="47" spans="2:17" x14ac:dyDescent="0.25">
      <c r="E47" s="19" t="s">
        <v>73</v>
      </c>
      <c r="F47" s="138">
        <f>[4]Hoja2!L87</f>
        <v>76024696</v>
      </c>
    </row>
    <row r="48" spans="2:17" x14ac:dyDescent="0.25">
      <c r="E48" s="19" t="s">
        <v>413</v>
      </c>
      <c r="F48" s="138">
        <f>[4]Hoja2!N87</f>
        <v>165558003</v>
      </c>
    </row>
    <row r="49" spans="5:6" x14ac:dyDescent="0.25">
      <c r="E49" s="19" t="s">
        <v>74</v>
      </c>
      <c r="F49" s="23">
        <f>[4]Hoja2!P87</f>
        <v>15162372265.199999</v>
      </c>
    </row>
    <row r="50" spans="5:6" x14ac:dyDescent="0.25">
      <c r="E50" s="19" t="s">
        <v>23</v>
      </c>
      <c r="F50" s="20">
        <f>F49+N26+N42</f>
        <v>15193475798.199999</v>
      </c>
    </row>
    <row r="51" spans="5:6" x14ac:dyDescent="0.25">
      <c r="E51" s="19" t="s">
        <v>24</v>
      </c>
      <c r="F51" s="21">
        <f>N26+N42</f>
        <v>31103533</v>
      </c>
    </row>
    <row r="52" spans="5:6" x14ac:dyDescent="0.25">
      <c r="E52" s="19" t="s">
        <v>25</v>
      </c>
      <c r="F52" s="22">
        <f>F51/F50</f>
        <v>2.0471637572019494E-3</v>
      </c>
    </row>
    <row r="53" spans="5:6" x14ac:dyDescent="0.25">
      <c r="E53" s="19" t="s">
        <v>26</v>
      </c>
      <c r="F53" s="21">
        <f>R19+R20+R21</f>
        <v>0</v>
      </c>
    </row>
    <row r="54" spans="5:6" x14ac:dyDescent="0.25">
      <c r="E54" s="19" t="s">
        <v>27</v>
      </c>
      <c r="F54" s="22">
        <f>F53/F50</f>
        <v>0</v>
      </c>
    </row>
    <row r="55" spans="5:6" x14ac:dyDescent="0.25">
      <c r="E55" s="19" t="s">
        <v>28</v>
      </c>
      <c r="F55" s="21">
        <f>N42</f>
        <v>2081700</v>
      </c>
    </row>
    <row r="56" spans="5:6" x14ac:dyDescent="0.25">
      <c r="E56" s="19" t="s">
        <v>29</v>
      </c>
      <c r="F56" s="21">
        <f>N26</f>
        <v>29021833</v>
      </c>
    </row>
    <row r="57" spans="5:6" x14ac:dyDescent="0.25">
      <c r="E57" s="19" t="s">
        <v>30</v>
      </c>
      <c r="F57" s="22">
        <f>F56/F50</f>
        <v>1.9101510006971725E-3</v>
      </c>
    </row>
    <row r="58" spans="5:6" x14ac:dyDescent="0.25">
      <c r="E58" s="19" t="s">
        <v>265</v>
      </c>
      <c r="F58" s="73">
        <f>B26+B42</f>
        <v>8</v>
      </c>
    </row>
    <row r="59" spans="5:6" x14ac:dyDescent="0.25">
      <c r="E59" s="1"/>
      <c r="F59" s="28"/>
    </row>
    <row r="61" spans="5:6" x14ac:dyDescent="0.25">
      <c r="E61" s="19" t="s">
        <v>31</v>
      </c>
      <c r="F61" s="24">
        <f>J35</f>
        <v>0</v>
      </c>
    </row>
    <row r="62" spans="5:6" x14ac:dyDescent="0.25">
      <c r="E62" s="19" t="s">
        <v>32</v>
      </c>
      <c r="F62" s="24">
        <f>N34</f>
        <v>1637400</v>
      </c>
    </row>
    <row r="63" spans="5:6" x14ac:dyDescent="0.25">
      <c r="E63" s="19" t="s">
        <v>33</v>
      </c>
      <c r="F63" s="24">
        <v>0</v>
      </c>
    </row>
    <row r="64" spans="5:6" x14ac:dyDescent="0.25">
      <c r="E64" s="19" t="s">
        <v>34</v>
      </c>
      <c r="F64" s="24">
        <v>0</v>
      </c>
    </row>
    <row r="65" spans="5:6" x14ac:dyDescent="0.25">
      <c r="E65" s="19" t="s">
        <v>36</v>
      </c>
      <c r="F65" s="24"/>
    </row>
    <row r="66" spans="5:6" x14ac:dyDescent="0.25">
      <c r="E66" s="29"/>
      <c r="F66" s="29"/>
    </row>
    <row r="67" spans="5:6" x14ac:dyDescent="0.25">
      <c r="E67" s="25" t="s">
        <v>414</v>
      </c>
      <c r="F67" s="26">
        <v>1.8E-3</v>
      </c>
    </row>
  </sheetData>
  <mergeCells count="1">
    <mergeCell ref="E3:G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A5AF3-12E7-4EB8-8FBB-7EFD25F219AB}">
  <dimension ref="B1:P75"/>
  <sheetViews>
    <sheetView topLeftCell="B1" zoomScale="70" zoomScaleNormal="70" workbookViewId="0">
      <selection activeCell="E32" sqref="E32"/>
    </sheetView>
  </sheetViews>
  <sheetFormatPr baseColWidth="10" defaultRowHeight="15" x14ac:dyDescent="0.25"/>
  <cols>
    <col min="1" max="1" width="4.28515625" customWidth="1"/>
    <col min="2" max="2" width="7.140625" customWidth="1"/>
    <col min="3" max="3" width="7.7109375" customWidth="1"/>
    <col min="4" max="4" width="18.28515625" customWidth="1"/>
    <col min="5" max="5" width="28.7109375" customWidth="1"/>
    <col min="6" max="6" width="17.42578125" bestFit="1" customWidth="1"/>
    <col min="7" max="7" width="12.5703125" customWidth="1"/>
    <col min="8" max="8" width="18.140625" style="96" customWidth="1"/>
    <col min="9" max="9" width="14.7109375" style="96" bestFit="1" customWidth="1"/>
    <col min="10" max="10" width="16.85546875" style="96" customWidth="1"/>
    <col min="11" max="11" width="8.28515625" customWidth="1"/>
    <col min="12" max="12" width="6.140625" customWidth="1"/>
    <col min="13" max="13" width="5.28515625" customWidth="1"/>
    <col min="14" max="14" width="17.5703125" style="96" customWidth="1"/>
    <col min="15" max="15" width="46.140625" bestFit="1" customWidth="1"/>
    <col min="16" max="16" width="11.5703125" hidden="1" customWidth="1"/>
  </cols>
  <sheetData>
    <row r="1" spans="2:16" x14ac:dyDescent="0.25">
      <c r="D1" s="1" t="s">
        <v>0</v>
      </c>
      <c r="I1" s="2" t="s">
        <v>296</v>
      </c>
    </row>
    <row r="2" spans="2:16" x14ac:dyDescent="0.25">
      <c r="D2" s="1" t="s">
        <v>1</v>
      </c>
    </row>
    <row r="3" spans="2:16" x14ac:dyDescent="0.25">
      <c r="D3" s="3"/>
      <c r="E3" s="218" t="s">
        <v>415</v>
      </c>
      <c r="F3" s="218"/>
      <c r="G3" s="219"/>
    </row>
    <row r="5" spans="2:16" ht="15.75" thickBot="1" x14ac:dyDescent="0.3"/>
    <row r="6" spans="2:16" x14ac:dyDescent="0.25">
      <c r="B6" s="4"/>
      <c r="D6" s="5"/>
      <c r="E6" s="53" t="s">
        <v>63</v>
      </c>
      <c r="F6" s="47"/>
      <c r="G6" s="47"/>
      <c r="H6" s="109"/>
      <c r="I6" s="109"/>
      <c r="J6" s="110"/>
      <c r="K6" s="47"/>
      <c r="L6" s="49"/>
      <c r="M6" s="47"/>
      <c r="N6" s="111">
        <f>N28</f>
        <v>3401505</v>
      </c>
    </row>
    <row r="7" spans="2:16" x14ac:dyDescent="0.25">
      <c r="B7" s="4"/>
      <c r="D7" s="5"/>
      <c r="E7" s="54" t="s">
        <v>64</v>
      </c>
      <c r="J7" s="112"/>
      <c r="L7" s="4"/>
      <c r="N7" s="113">
        <f>N24</f>
        <v>2000894</v>
      </c>
    </row>
    <row r="8" spans="2:16" x14ac:dyDescent="0.25">
      <c r="B8" s="4"/>
      <c r="D8" s="5"/>
      <c r="E8" s="54" t="s">
        <v>65</v>
      </c>
      <c r="J8" s="112"/>
      <c r="L8" s="4"/>
      <c r="N8" s="113">
        <f>N19</f>
        <v>9542500</v>
      </c>
    </row>
    <row r="9" spans="2:16" ht="15.75" thickBot="1" x14ac:dyDescent="0.3">
      <c r="B9" s="4"/>
      <c r="D9" s="5"/>
      <c r="E9" s="55" t="s">
        <v>66</v>
      </c>
      <c r="F9" s="50"/>
      <c r="G9" s="50"/>
      <c r="H9" s="114"/>
      <c r="I9" s="114"/>
      <c r="J9" s="115"/>
      <c r="K9" s="50"/>
      <c r="L9" s="52"/>
      <c r="M9" s="50"/>
      <c r="N9" s="116">
        <f>N13</f>
        <v>17929179</v>
      </c>
    </row>
    <row r="10" spans="2:16" x14ac:dyDescent="0.25">
      <c r="B10" s="4"/>
      <c r="D10" s="5"/>
    </row>
    <row r="11" spans="2:16" x14ac:dyDescent="0.25">
      <c r="B11" s="1" t="s">
        <v>2</v>
      </c>
      <c r="D11" s="5"/>
      <c r="J11" s="112"/>
      <c r="L11" s="4"/>
      <c r="N11" s="112"/>
    </row>
    <row r="12" spans="2:16" ht="40.5" x14ac:dyDescent="0.25">
      <c r="B12" s="7" t="s">
        <v>5</v>
      </c>
      <c r="C12" s="7" t="s">
        <v>6</v>
      </c>
      <c r="D12" s="10" t="s">
        <v>7</v>
      </c>
      <c r="E12" s="7" t="s">
        <v>8</v>
      </c>
      <c r="F12" s="9" t="s">
        <v>9</v>
      </c>
      <c r="G12" s="9" t="s">
        <v>18</v>
      </c>
      <c r="H12" s="117" t="s">
        <v>10</v>
      </c>
      <c r="I12" s="117" t="s">
        <v>11</v>
      </c>
      <c r="J12" s="117" t="s">
        <v>12</v>
      </c>
      <c r="K12" s="11" t="s">
        <v>13</v>
      </c>
      <c r="L12" s="8" t="s">
        <v>14</v>
      </c>
      <c r="M12" s="8" t="s">
        <v>15</v>
      </c>
      <c r="N12" s="117" t="s">
        <v>16</v>
      </c>
      <c r="O12" s="8" t="s">
        <v>17</v>
      </c>
    </row>
    <row r="13" spans="2:16" x14ac:dyDescent="0.25">
      <c r="B13" s="118"/>
      <c r="C13" s="118"/>
      <c r="D13" s="118"/>
      <c r="E13" s="58" t="str">
        <f>E9</f>
        <v xml:space="preserve">Cartera Mayor de 90 dias </v>
      </c>
      <c r="F13" s="118"/>
      <c r="G13" s="118"/>
      <c r="H13" s="91">
        <f>H14+H15+H16+H17</f>
        <v>1475872524</v>
      </c>
      <c r="I13" s="91"/>
      <c r="J13" s="91">
        <f>J14+J15+J16+J17</f>
        <v>406385490</v>
      </c>
      <c r="K13" s="63"/>
      <c r="L13" s="61"/>
      <c r="M13" s="61"/>
      <c r="N13" s="91">
        <f>N14+N15+N16+N17</f>
        <v>17929179</v>
      </c>
      <c r="O13" s="61"/>
    </row>
    <row r="14" spans="2:16" ht="30" customHeight="1" x14ac:dyDescent="0.25">
      <c r="B14" s="13" t="s">
        <v>152</v>
      </c>
      <c r="C14" s="13">
        <v>55.41</v>
      </c>
      <c r="D14" s="66" t="s">
        <v>297</v>
      </c>
      <c r="E14" s="86" t="s">
        <v>416</v>
      </c>
      <c r="F14" s="119">
        <v>45344</v>
      </c>
      <c r="G14" s="119">
        <v>46264</v>
      </c>
      <c r="H14" s="143">
        <v>317399419</v>
      </c>
      <c r="I14" s="20">
        <f>H14/C14</f>
        <v>5728197.4192384053</v>
      </c>
      <c r="J14" s="20">
        <v>83533418</v>
      </c>
      <c r="K14" s="120">
        <f t="shared" ref="K14:K27" si="0">J14/H14</f>
        <v>0.26318075270326818</v>
      </c>
      <c r="L14" s="121">
        <v>4</v>
      </c>
      <c r="M14" s="121">
        <v>109</v>
      </c>
      <c r="N14" s="122">
        <v>2677940</v>
      </c>
      <c r="O14" s="123" t="s">
        <v>478</v>
      </c>
      <c r="P14" t="s">
        <v>243</v>
      </c>
    </row>
    <row r="15" spans="2:16" ht="56.45" customHeight="1" x14ac:dyDescent="0.25">
      <c r="B15" s="13" t="s">
        <v>154</v>
      </c>
      <c r="C15" s="13">
        <v>52.26</v>
      </c>
      <c r="D15" s="66" t="s">
        <v>298</v>
      </c>
      <c r="E15" s="86" t="s">
        <v>299</v>
      </c>
      <c r="F15" s="119">
        <v>45510</v>
      </c>
      <c r="G15" s="119">
        <v>46265</v>
      </c>
      <c r="H15" s="20">
        <v>346516931</v>
      </c>
      <c r="I15" s="20">
        <f t="shared" ref="I15:I23" si="1">H15/C15</f>
        <v>6630633.9647914274</v>
      </c>
      <c r="J15" s="20">
        <v>98668692</v>
      </c>
      <c r="K15" s="120">
        <f t="shared" si="0"/>
        <v>0.28474421643772435</v>
      </c>
      <c r="L15" s="121">
        <v>5</v>
      </c>
      <c r="M15" s="121">
        <v>138</v>
      </c>
      <c r="N15" s="122">
        <v>4034624</v>
      </c>
      <c r="O15" s="159" t="s">
        <v>479</v>
      </c>
    </row>
    <row r="16" spans="2:16" ht="66" customHeight="1" x14ac:dyDescent="0.25">
      <c r="B16" s="13" t="s">
        <v>153</v>
      </c>
      <c r="C16" s="13">
        <v>48.59</v>
      </c>
      <c r="D16" s="127" t="s">
        <v>300</v>
      </c>
      <c r="E16" s="86" t="s">
        <v>301</v>
      </c>
      <c r="F16" s="119">
        <v>45190</v>
      </c>
      <c r="G16" s="119">
        <v>46316</v>
      </c>
      <c r="H16" s="20">
        <v>299247054</v>
      </c>
      <c r="I16" s="20">
        <f t="shared" si="1"/>
        <v>6158613.9946491048</v>
      </c>
      <c r="J16" s="20">
        <v>82596852</v>
      </c>
      <c r="K16" s="120">
        <f t="shared" si="0"/>
        <v>0.27601558944670512</v>
      </c>
      <c r="L16" s="121">
        <v>5</v>
      </c>
      <c r="M16" s="121">
        <v>122</v>
      </c>
      <c r="N16" s="122">
        <v>5126615</v>
      </c>
      <c r="O16" s="123" t="s">
        <v>480</v>
      </c>
    </row>
    <row r="17" spans="2:15" ht="31.15" customHeight="1" x14ac:dyDescent="0.25">
      <c r="B17" s="13" t="s">
        <v>133</v>
      </c>
      <c r="C17" s="13">
        <v>80.92</v>
      </c>
      <c r="D17" s="66" t="s">
        <v>302</v>
      </c>
      <c r="E17" s="142" t="s">
        <v>303</v>
      </c>
      <c r="F17" s="119">
        <v>45182</v>
      </c>
      <c r="G17" s="119">
        <v>46374</v>
      </c>
      <c r="H17" s="20">
        <v>512709120</v>
      </c>
      <c r="I17" s="20">
        <f t="shared" si="1"/>
        <v>6336000</v>
      </c>
      <c r="J17" s="20">
        <v>141586528</v>
      </c>
      <c r="K17" s="120">
        <f t="shared" si="0"/>
        <v>0.27615371460527172</v>
      </c>
      <c r="L17" s="69">
        <v>4</v>
      </c>
      <c r="M17" s="69">
        <v>109</v>
      </c>
      <c r="N17" s="122">
        <v>6090000</v>
      </c>
      <c r="O17" s="83" t="s">
        <v>481</v>
      </c>
    </row>
    <row r="18" spans="2:15" ht="25.15" customHeight="1" x14ac:dyDescent="0.25">
      <c r="B18" s="13"/>
      <c r="C18" s="13"/>
      <c r="D18" s="66"/>
      <c r="E18" s="86"/>
      <c r="F18" s="119"/>
      <c r="G18" s="119"/>
      <c r="H18" s="20"/>
      <c r="I18" s="20"/>
      <c r="J18" s="20"/>
      <c r="K18" s="120" t="e">
        <f t="shared" si="0"/>
        <v>#DIV/0!</v>
      </c>
      <c r="L18" s="121"/>
      <c r="M18" s="121"/>
      <c r="N18" s="122"/>
      <c r="O18" s="83"/>
    </row>
    <row r="19" spans="2:15" x14ac:dyDescent="0.25">
      <c r="B19" s="124"/>
      <c r="C19" s="124"/>
      <c r="D19" s="124"/>
      <c r="E19" s="65" t="str">
        <f>E8</f>
        <v xml:space="preserve">Cartera de 61 a 90 dias </v>
      </c>
      <c r="F19" s="124"/>
      <c r="G19" s="124"/>
      <c r="H19" s="93">
        <f>H20+H21+H22</f>
        <v>1676029226</v>
      </c>
      <c r="I19" s="92"/>
      <c r="J19" s="93">
        <f>J20+J21+J22</f>
        <v>458426512</v>
      </c>
      <c r="K19" s="120"/>
      <c r="L19" s="64"/>
      <c r="M19" s="64"/>
      <c r="N19" s="125">
        <f>N20+N21+N22</f>
        <v>9542500</v>
      </c>
      <c r="O19" s="64"/>
    </row>
    <row r="20" spans="2:15" ht="39" customHeight="1" x14ac:dyDescent="0.25">
      <c r="B20" s="13" t="s">
        <v>156</v>
      </c>
      <c r="C20" s="13">
        <v>76.75</v>
      </c>
      <c r="D20" s="66" t="s">
        <v>306</v>
      </c>
      <c r="E20" s="126" t="s">
        <v>307</v>
      </c>
      <c r="F20" s="119">
        <v>45342</v>
      </c>
      <c r="G20" s="119">
        <v>46265</v>
      </c>
      <c r="H20" s="20">
        <v>473832000</v>
      </c>
      <c r="I20" s="20">
        <f t="shared" si="1"/>
        <v>6173706.8403908797</v>
      </c>
      <c r="J20" s="20">
        <v>125344195</v>
      </c>
      <c r="K20" s="120">
        <f t="shared" si="0"/>
        <v>0.26453298848537032</v>
      </c>
      <c r="L20" s="69">
        <v>3</v>
      </c>
      <c r="M20" s="69">
        <v>79</v>
      </c>
      <c r="N20" s="122">
        <v>1155000</v>
      </c>
      <c r="O20" s="83" t="s">
        <v>318</v>
      </c>
    </row>
    <row r="21" spans="2:15" ht="45" x14ac:dyDescent="0.25">
      <c r="B21" s="13" t="s">
        <v>151</v>
      </c>
      <c r="C21" s="13">
        <v>65.569999999999993</v>
      </c>
      <c r="D21" s="66" t="s">
        <v>308</v>
      </c>
      <c r="E21" s="142" t="s">
        <v>417</v>
      </c>
      <c r="F21" s="119">
        <v>45186</v>
      </c>
      <c r="G21" s="119">
        <v>46268</v>
      </c>
      <c r="H21" s="20">
        <v>507375157</v>
      </c>
      <c r="I21" s="20">
        <f t="shared" si="1"/>
        <v>7737916.0744242799</v>
      </c>
      <c r="J21" s="20">
        <v>132140445</v>
      </c>
      <c r="K21" s="120">
        <f t="shared" si="0"/>
        <v>0.26043932813210247</v>
      </c>
      <c r="L21" s="69">
        <v>3</v>
      </c>
      <c r="M21" s="69">
        <v>71</v>
      </c>
      <c r="N21" s="122">
        <v>1142500</v>
      </c>
      <c r="O21" s="83" t="s">
        <v>482</v>
      </c>
    </row>
    <row r="22" spans="2:15" ht="29.45" customHeight="1" x14ac:dyDescent="0.25">
      <c r="B22" s="13" t="s">
        <v>127</v>
      </c>
      <c r="C22" s="13">
        <v>80.92</v>
      </c>
      <c r="D22" s="66" t="s">
        <v>309</v>
      </c>
      <c r="E22" s="142" t="s">
        <v>418</v>
      </c>
      <c r="F22" s="119">
        <v>45759</v>
      </c>
      <c r="G22" s="119">
        <v>46304</v>
      </c>
      <c r="H22" s="20">
        <v>694822069</v>
      </c>
      <c r="I22" s="20">
        <f t="shared" si="1"/>
        <v>8586530.758774098</v>
      </c>
      <c r="J22" s="20">
        <v>200941872</v>
      </c>
      <c r="K22" s="120">
        <f t="shared" si="0"/>
        <v>0.28919903521371887</v>
      </c>
      <c r="L22" s="69">
        <v>3</v>
      </c>
      <c r="M22" s="69">
        <v>69</v>
      </c>
      <c r="N22" s="122">
        <v>7245000</v>
      </c>
      <c r="O22" s="83" t="s">
        <v>483</v>
      </c>
    </row>
    <row r="23" spans="2:15" ht="45" x14ac:dyDescent="0.25">
      <c r="B23" s="13" t="s">
        <v>158</v>
      </c>
      <c r="C23" s="13">
        <v>48.59</v>
      </c>
      <c r="D23" s="66" t="s">
        <v>310</v>
      </c>
      <c r="E23" s="13" t="s">
        <v>419</v>
      </c>
      <c r="F23" s="119">
        <v>45845</v>
      </c>
      <c r="G23" s="119">
        <v>46317</v>
      </c>
      <c r="H23" s="20">
        <v>297333920</v>
      </c>
      <c r="I23" s="20">
        <f t="shared" si="1"/>
        <v>6119240.9960897304</v>
      </c>
      <c r="J23" s="20">
        <v>87264039</v>
      </c>
      <c r="K23" s="120">
        <f t="shared" si="0"/>
        <v>0.29348834132345208</v>
      </c>
      <c r="L23" s="69">
        <v>3</v>
      </c>
      <c r="M23" s="69">
        <v>63</v>
      </c>
      <c r="N23" s="122">
        <v>1514971</v>
      </c>
      <c r="O23" s="83" t="s">
        <v>489</v>
      </c>
    </row>
    <row r="24" spans="2:15" x14ac:dyDescent="0.25">
      <c r="B24" s="124"/>
      <c r="C24" s="124"/>
      <c r="D24" s="124"/>
      <c r="E24" s="65" t="str">
        <f>E7</f>
        <v xml:space="preserve">Catera de 31 a 60dias </v>
      </c>
      <c r="F24" s="124"/>
      <c r="G24" s="124"/>
      <c r="H24" s="93">
        <f>H25+H26+H27</f>
        <v>1354902037</v>
      </c>
      <c r="I24" s="92"/>
      <c r="J24" s="93">
        <f>J25+J26+J27</f>
        <v>395214034</v>
      </c>
      <c r="K24" s="120">
        <f t="shared" si="0"/>
        <v>0.29169196237616996</v>
      </c>
      <c r="L24" s="64"/>
      <c r="M24" s="64"/>
      <c r="N24" s="93">
        <f>N25+N26+N27</f>
        <v>2000894</v>
      </c>
      <c r="O24" s="64"/>
    </row>
    <row r="25" spans="2:15" ht="45" x14ac:dyDescent="0.25">
      <c r="B25" s="13" t="s">
        <v>159</v>
      </c>
      <c r="C25" s="13">
        <v>48.59</v>
      </c>
      <c r="D25" s="13" t="s">
        <v>311</v>
      </c>
      <c r="E25" s="83" t="s">
        <v>420</v>
      </c>
      <c r="F25" s="119">
        <v>45287</v>
      </c>
      <c r="G25" s="119">
        <v>46252</v>
      </c>
      <c r="H25" s="20">
        <v>402117488</v>
      </c>
      <c r="I25" s="20">
        <f>I31/C31</f>
        <v>8111506.0393472631</v>
      </c>
      <c r="J25" s="135">
        <v>119793214</v>
      </c>
      <c r="K25" s="120">
        <f t="shared" si="0"/>
        <v>0.29790600402835504</v>
      </c>
      <c r="L25" s="69">
        <v>2</v>
      </c>
      <c r="M25" s="69">
        <v>60</v>
      </c>
      <c r="N25" s="20">
        <v>495600</v>
      </c>
      <c r="O25" s="83" t="s">
        <v>484</v>
      </c>
    </row>
    <row r="26" spans="2:15" ht="30" x14ac:dyDescent="0.25">
      <c r="B26" s="13" t="s">
        <v>140</v>
      </c>
      <c r="C26" s="13">
        <v>89.35</v>
      </c>
      <c r="D26" s="13" t="s">
        <v>312</v>
      </c>
      <c r="E26" s="13" t="s">
        <v>421</v>
      </c>
      <c r="F26" s="119">
        <v>45465</v>
      </c>
      <c r="G26" s="119">
        <v>46283</v>
      </c>
      <c r="H26" s="20">
        <v>619195500</v>
      </c>
      <c r="I26" s="20">
        <f t="shared" ref="I26" si="2">H26/C26</f>
        <v>6930000</v>
      </c>
      <c r="J26" s="135">
        <v>183694228</v>
      </c>
      <c r="K26" s="120">
        <f t="shared" si="0"/>
        <v>0.29666596091218361</v>
      </c>
      <c r="L26" s="69">
        <v>2</v>
      </c>
      <c r="M26" s="69">
        <v>48</v>
      </c>
      <c r="N26" s="20">
        <v>825294</v>
      </c>
      <c r="O26" s="83" t="s">
        <v>485</v>
      </c>
    </row>
    <row r="27" spans="2:15" ht="30" x14ac:dyDescent="0.25">
      <c r="B27" s="13" t="s">
        <v>157</v>
      </c>
      <c r="C27" s="13">
        <v>55.41</v>
      </c>
      <c r="D27" s="66" t="s">
        <v>315</v>
      </c>
      <c r="E27" s="83" t="s">
        <v>422</v>
      </c>
      <c r="F27" s="119">
        <v>44476</v>
      </c>
      <c r="G27" s="119">
        <v>46310</v>
      </c>
      <c r="H27" s="20">
        <v>333589049</v>
      </c>
      <c r="I27" s="20">
        <f>I32/C32</f>
        <v>189405.10161825886</v>
      </c>
      <c r="J27" s="135">
        <v>91726592</v>
      </c>
      <c r="K27" s="120">
        <f t="shared" si="0"/>
        <v>0.27496883448353249</v>
      </c>
      <c r="L27" s="69">
        <v>2</v>
      </c>
      <c r="M27" s="69">
        <v>33</v>
      </c>
      <c r="N27" s="20">
        <v>680000</v>
      </c>
      <c r="O27" s="83" t="s">
        <v>486</v>
      </c>
    </row>
    <row r="28" spans="2:15" x14ac:dyDescent="0.25">
      <c r="B28" s="124"/>
      <c r="C28" s="124"/>
      <c r="D28" s="124"/>
      <c r="E28" s="65" t="str">
        <f>E6</f>
        <v xml:space="preserve">Cartera de 6 a 30 dias </v>
      </c>
      <c r="F28" s="124"/>
      <c r="G28" s="124"/>
      <c r="H28" s="93">
        <f>H29+H30+H31+H32</f>
        <v>1516726870</v>
      </c>
      <c r="I28" s="92"/>
      <c r="J28" s="93">
        <f>J29+J30+J31+J32</f>
        <v>485905684</v>
      </c>
      <c r="K28" s="120"/>
      <c r="L28" s="87"/>
      <c r="M28" s="87"/>
      <c r="N28" s="93">
        <f>N29+N30+N31+N32</f>
        <v>3401505</v>
      </c>
      <c r="O28" s="64"/>
    </row>
    <row r="29" spans="2:15" ht="31.9" customHeight="1" x14ac:dyDescent="0.25">
      <c r="B29" s="13" t="s">
        <v>423</v>
      </c>
      <c r="C29" s="13">
        <v>48.59</v>
      </c>
      <c r="D29" s="127" t="s">
        <v>424</v>
      </c>
      <c r="E29" s="83" t="s">
        <v>425</v>
      </c>
      <c r="F29" s="119">
        <v>45352</v>
      </c>
      <c r="G29" s="119">
        <v>46353</v>
      </c>
      <c r="H29" s="20">
        <v>412594911</v>
      </c>
      <c r="I29" s="20">
        <f t="shared" ref="I29:I30" si="3">H29/C29</f>
        <v>8491354.4144885782</v>
      </c>
      <c r="J29" s="20">
        <v>116037458</v>
      </c>
      <c r="K29" s="120">
        <f t="shared" ref="K29:K32" si="4">J29/H29</f>
        <v>0.28123821915001757</v>
      </c>
      <c r="L29" s="69">
        <v>1</v>
      </c>
      <c r="M29" s="69">
        <v>30</v>
      </c>
      <c r="N29" s="20">
        <v>367000</v>
      </c>
      <c r="O29" s="83" t="s">
        <v>314</v>
      </c>
    </row>
    <row r="30" spans="2:15" ht="31.9" customHeight="1" x14ac:dyDescent="0.25">
      <c r="B30" s="13" t="s">
        <v>426</v>
      </c>
      <c r="C30" s="13">
        <v>55.54</v>
      </c>
      <c r="D30" s="127" t="s">
        <v>427</v>
      </c>
      <c r="E30" s="83" t="s">
        <v>428</v>
      </c>
      <c r="F30" s="119">
        <v>44613</v>
      </c>
      <c r="G30" s="119">
        <v>46323</v>
      </c>
      <c r="H30" s="20">
        <v>328474384</v>
      </c>
      <c r="I30" s="20">
        <f t="shared" si="3"/>
        <v>5914194.886568239</v>
      </c>
      <c r="J30" s="20">
        <v>85967817</v>
      </c>
      <c r="K30" s="120">
        <f t="shared" si="4"/>
        <v>0.26171848152396565</v>
      </c>
      <c r="L30" s="69">
        <v>1</v>
      </c>
      <c r="M30" s="69">
        <v>20</v>
      </c>
      <c r="N30" s="20">
        <v>500000</v>
      </c>
      <c r="O30" s="83" t="s">
        <v>314</v>
      </c>
    </row>
    <row r="31" spans="2:15" ht="31.9" customHeight="1" x14ac:dyDescent="0.25">
      <c r="B31" s="13" t="s">
        <v>145</v>
      </c>
      <c r="C31" s="13">
        <v>65.569999999999993</v>
      </c>
      <c r="D31" s="66" t="s">
        <v>304</v>
      </c>
      <c r="E31" s="13" t="s">
        <v>305</v>
      </c>
      <c r="F31" s="119">
        <v>45354</v>
      </c>
      <c r="G31" s="119">
        <v>46262</v>
      </c>
      <c r="H31" s="20">
        <v>328474384</v>
      </c>
      <c r="I31" s="20">
        <v>531871451</v>
      </c>
      <c r="J31" s="20">
        <v>160791300</v>
      </c>
      <c r="K31" s="120">
        <f t="shared" si="4"/>
        <v>0.48950940417929212</v>
      </c>
      <c r="L31" s="69">
        <v>1</v>
      </c>
      <c r="M31" s="69">
        <v>20</v>
      </c>
      <c r="N31" s="20">
        <v>534505</v>
      </c>
      <c r="O31" s="83" t="s">
        <v>487</v>
      </c>
    </row>
    <row r="32" spans="2:15" ht="31.9" customHeight="1" x14ac:dyDescent="0.25">
      <c r="B32" s="13" t="s">
        <v>163</v>
      </c>
      <c r="C32" s="13">
        <v>48.59</v>
      </c>
      <c r="D32" s="127" t="s">
        <v>313</v>
      </c>
      <c r="E32" s="83" t="s">
        <v>429</v>
      </c>
      <c r="F32" s="119">
        <v>45414</v>
      </c>
      <c r="G32" s="119">
        <v>46358</v>
      </c>
      <c r="H32" s="20">
        <v>447183191</v>
      </c>
      <c r="I32" s="20">
        <f t="shared" ref="I32" si="5">H32/C32</f>
        <v>9203193.8876311984</v>
      </c>
      <c r="J32" s="20">
        <v>123109109</v>
      </c>
      <c r="K32" s="120">
        <f t="shared" si="4"/>
        <v>0.27529905300040669</v>
      </c>
      <c r="L32" s="69">
        <v>1</v>
      </c>
      <c r="M32" s="69">
        <v>15</v>
      </c>
      <c r="N32" s="20">
        <v>2000000</v>
      </c>
      <c r="O32" s="83" t="s">
        <v>314</v>
      </c>
    </row>
    <row r="33" spans="2:16" x14ac:dyDescent="0.25">
      <c r="B33" s="15">
        <f>+COUNTA(B14:B32)</f>
        <v>15</v>
      </c>
      <c r="C33" s="14"/>
      <c r="D33" s="14"/>
      <c r="E33" s="14" t="s">
        <v>19</v>
      </c>
      <c r="F33" s="14"/>
      <c r="G33" s="16"/>
      <c r="H33" s="128">
        <f>H13+H19+H24+H28</f>
        <v>6023530657</v>
      </c>
      <c r="I33" s="16"/>
      <c r="J33" s="128">
        <f>J13+J19+J24+J28</f>
        <v>1745931720</v>
      </c>
      <c r="K33" s="16"/>
      <c r="L33" s="16"/>
      <c r="M33" s="17"/>
      <c r="N33" s="17">
        <f>N13+N19+N24+N28</f>
        <v>32874078</v>
      </c>
    </row>
    <row r="35" spans="2:16" x14ac:dyDescent="0.25">
      <c r="I35" s="160"/>
    </row>
    <row r="37" spans="2:16" x14ac:dyDescent="0.25">
      <c r="B37" s="4"/>
      <c r="D37" s="5"/>
      <c r="J37" s="112"/>
      <c r="L37" s="4"/>
      <c r="N37" s="112"/>
    </row>
    <row r="38" spans="2:16" ht="40.5" x14ac:dyDescent="0.25">
      <c r="B38" s="7" t="s">
        <v>5</v>
      </c>
      <c r="C38" s="7" t="s">
        <v>6</v>
      </c>
      <c r="D38" s="10" t="s">
        <v>7</v>
      </c>
      <c r="E38" s="7" t="s">
        <v>8</v>
      </c>
      <c r="F38" s="9" t="s">
        <v>9</v>
      </c>
      <c r="G38" s="9" t="s">
        <v>18</v>
      </c>
      <c r="H38" s="117" t="s">
        <v>10</v>
      </c>
      <c r="I38" s="117" t="s">
        <v>11</v>
      </c>
      <c r="J38" s="117" t="s">
        <v>12</v>
      </c>
      <c r="K38" s="11" t="s">
        <v>13</v>
      </c>
      <c r="L38" s="8" t="s">
        <v>14</v>
      </c>
      <c r="M38" s="8" t="s">
        <v>15</v>
      </c>
      <c r="N38" s="117" t="s">
        <v>16</v>
      </c>
      <c r="O38" s="8" t="s">
        <v>17</v>
      </c>
    </row>
    <row r="39" spans="2:16" x14ac:dyDescent="0.25">
      <c r="B39" s="60"/>
      <c r="C39" s="60"/>
      <c r="D39" s="60"/>
      <c r="E39" s="58" t="s">
        <v>66</v>
      </c>
      <c r="F39" s="60"/>
      <c r="G39" s="60"/>
      <c r="H39" s="91">
        <f>H42</f>
        <v>0</v>
      </c>
      <c r="I39" s="91"/>
      <c r="J39" s="91">
        <f>J42</f>
        <v>0</v>
      </c>
      <c r="K39" s="63"/>
      <c r="L39" s="61"/>
      <c r="M39" s="61"/>
      <c r="N39" s="91">
        <f>N42</f>
        <v>0</v>
      </c>
      <c r="O39" s="61"/>
    </row>
    <row r="40" spans="2:16" ht="19.899999999999999" customHeight="1" x14ac:dyDescent="0.25">
      <c r="B40" s="69"/>
      <c r="C40" s="129"/>
      <c r="D40" s="127"/>
      <c r="E40" s="83"/>
      <c r="F40" s="85"/>
      <c r="G40" s="85"/>
      <c r="H40" s="130"/>
      <c r="I40" s="20"/>
      <c r="J40" s="131"/>
      <c r="K40" s="120"/>
      <c r="L40" s="121"/>
      <c r="M40" s="121"/>
      <c r="N40" s="132"/>
      <c r="O40" s="83"/>
      <c r="P40" s="133"/>
    </row>
    <row r="41" spans="2:16" ht="19.899999999999999" customHeight="1" x14ac:dyDescent="0.25">
      <c r="B41" s="69"/>
      <c r="C41" s="129"/>
      <c r="D41" s="127"/>
      <c r="E41" s="83"/>
      <c r="F41" s="85"/>
      <c r="G41" s="85"/>
      <c r="H41" s="130"/>
      <c r="I41" s="20"/>
      <c r="J41" s="131"/>
      <c r="K41" s="120"/>
      <c r="L41" s="121"/>
      <c r="M41" s="121"/>
      <c r="N41" s="132"/>
      <c r="O41" s="83"/>
      <c r="P41" s="133"/>
    </row>
    <row r="42" spans="2:16" ht="19.899999999999999" customHeight="1" x14ac:dyDescent="0.25">
      <c r="B42" s="69"/>
      <c r="C42" s="129"/>
      <c r="D42" s="127"/>
      <c r="E42" s="83"/>
      <c r="F42" s="85"/>
      <c r="G42" s="85"/>
      <c r="H42" s="130"/>
      <c r="I42" s="20" t="e">
        <f t="shared" ref="I42:I44" si="6">H42/C42</f>
        <v>#DIV/0!</v>
      </c>
      <c r="J42" s="131"/>
      <c r="K42" s="120" t="e">
        <f t="shared" ref="K42:K44" si="7">J42/H42</f>
        <v>#DIV/0!</v>
      </c>
      <c r="L42" s="121"/>
      <c r="M42" s="121"/>
      <c r="N42" s="132"/>
      <c r="O42" s="83"/>
      <c r="P42" s="133" t="s">
        <v>167</v>
      </c>
    </row>
    <row r="43" spans="2:16" x14ac:dyDescent="0.25">
      <c r="B43" s="64"/>
      <c r="C43" s="64"/>
      <c r="D43" s="64"/>
      <c r="E43" s="65" t="s">
        <v>65</v>
      </c>
      <c r="F43" s="64"/>
      <c r="G43" s="64"/>
      <c r="H43" s="93">
        <f>H44</f>
        <v>0</v>
      </c>
      <c r="I43" s="92"/>
      <c r="J43" s="93">
        <f>J44</f>
        <v>0</v>
      </c>
      <c r="K43" s="64"/>
      <c r="L43" s="64"/>
      <c r="M43" s="64"/>
      <c r="N43" s="125">
        <f>N44</f>
        <v>0</v>
      </c>
      <c r="O43" s="64"/>
    </row>
    <row r="44" spans="2:16" ht="25.9" customHeight="1" x14ac:dyDescent="0.25">
      <c r="B44" s="69"/>
      <c r="C44" s="69"/>
      <c r="D44" s="84"/>
      <c r="E44" s="83"/>
      <c r="F44" s="85"/>
      <c r="G44" s="85"/>
      <c r="H44" s="20"/>
      <c r="I44" s="20" t="e">
        <f t="shared" si="6"/>
        <v>#DIV/0!</v>
      </c>
      <c r="J44" s="20"/>
      <c r="K44" s="120" t="e">
        <f t="shared" si="7"/>
        <v>#DIV/0!</v>
      </c>
      <c r="L44" s="13"/>
      <c r="M44" s="13"/>
      <c r="N44" s="20"/>
      <c r="O44" s="83"/>
    </row>
    <row r="45" spans="2:16" x14ac:dyDescent="0.25">
      <c r="B45" s="64"/>
      <c r="C45" s="64"/>
      <c r="D45" s="64"/>
      <c r="E45" s="65" t="s">
        <v>64</v>
      </c>
      <c r="F45" s="64"/>
      <c r="G45" s="64"/>
      <c r="H45" s="92"/>
      <c r="I45" s="92"/>
      <c r="J45" s="92"/>
      <c r="K45" s="64"/>
      <c r="L45" s="64"/>
      <c r="M45" s="64"/>
      <c r="N45" s="92" cm="1">
        <f t="array" aca="1" ref="N45:N47" ca="1">N46:N48</f>
        <v>0</v>
      </c>
      <c r="O45" s="64"/>
    </row>
    <row r="46" spans="2:16" x14ac:dyDescent="0.25">
      <c r="B46" s="13"/>
      <c r="C46" s="13"/>
      <c r="D46" s="13"/>
      <c r="E46" s="13"/>
      <c r="F46" s="13"/>
      <c r="G46" s="13"/>
      <c r="H46" s="20"/>
      <c r="I46" s="20"/>
      <c r="J46" s="20"/>
      <c r="K46" s="13"/>
      <c r="L46" s="13"/>
      <c r="M46" s="13"/>
      <c r="N46" s="20">
        <f ca="1"/>
        <v>0</v>
      </c>
      <c r="O46" s="13"/>
    </row>
    <row r="47" spans="2:16" x14ac:dyDescent="0.25">
      <c r="B47" s="13"/>
      <c r="C47" s="13"/>
      <c r="D47" s="13"/>
      <c r="E47" s="13"/>
      <c r="F47" s="13"/>
      <c r="G47" s="13"/>
      <c r="H47" s="20"/>
      <c r="I47" s="20"/>
      <c r="J47" s="20"/>
      <c r="K47" s="13"/>
      <c r="L47" s="13"/>
      <c r="M47" s="13"/>
      <c r="N47" s="20">
        <f ca="1"/>
        <v>0</v>
      </c>
      <c r="O47" s="13"/>
    </row>
    <row r="48" spans="2:16" x14ac:dyDescent="0.25">
      <c r="B48" s="64"/>
      <c r="C48" s="64"/>
      <c r="D48" s="64"/>
      <c r="E48" s="65" t="s">
        <v>63</v>
      </c>
      <c r="F48" s="64"/>
      <c r="G48" s="64"/>
      <c r="H48" s="93">
        <f>H49</f>
        <v>0</v>
      </c>
      <c r="I48" s="92"/>
      <c r="J48" s="93">
        <f>J49</f>
        <v>0</v>
      </c>
      <c r="K48" s="64"/>
      <c r="L48" s="64"/>
      <c r="M48" s="64"/>
      <c r="N48" s="93">
        <f>N49</f>
        <v>0</v>
      </c>
      <c r="O48" s="64"/>
    </row>
    <row r="49" spans="2:15" x14ac:dyDescent="0.25">
      <c r="B49" s="69"/>
      <c r="C49" s="134"/>
      <c r="D49" s="84"/>
      <c r="E49" s="13"/>
      <c r="F49" s="75"/>
      <c r="G49" s="13"/>
      <c r="H49" s="20"/>
      <c r="I49" s="20"/>
      <c r="J49" s="135"/>
      <c r="K49" s="120" t="e">
        <f t="shared" ref="K49" si="8">J49/H49</f>
        <v>#DIV/0!</v>
      </c>
      <c r="L49" s="13"/>
      <c r="M49" s="13"/>
      <c r="N49" s="20"/>
      <c r="O49" s="83"/>
    </row>
    <row r="50" spans="2:15" x14ac:dyDescent="0.25">
      <c r="B50" s="15">
        <f>+COUNTA(B42:B49)</f>
        <v>0</v>
      </c>
      <c r="C50" s="14"/>
      <c r="D50" s="14"/>
      <c r="E50" s="14" t="s">
        <v>19</v>
      </c>
      <c r="F50" s="14"/>
      <c r="G50" s="16"/>
      <c r="H50" s="128">
        <f>H39+H43+H48</f>
        <v>0</v>
      </c>
      <c r="I50" s="136"/>
      <c r="J50" s="128">
        <f>J39+J43+J48</f>
        <v>0</v>
      </c>
      <c r="K50" s="16"/>
      <c r="L50" s="16"/>
      <c r="M50" s="17"/>
      <c r="N50" s="137">
        <f>N39+N43+N48</f>
        <v>0</v>
      </c>
    </row>
    <row r="52" spans="2:15" x14ac:dyDescent="0.25">
      <c r="E52" s="18" t="s">
        <v>20</v>
      </c>
      <c r="F52" s="13">
        <v>85</v>
      </c>
    </row>
    <row r="53" spans="2:15" x14ac:dyDescent="0.25">
      <c r="E53" s="18" t="s">
        <v>21</v>
      </c>
      <c r="F53" s="13">
        <f>F52-F54</f>
        <v>0</v>
      </c>
    </row>
    <row r="54" spans="2:15" x14ac:dyDescent="0.25">
      <c r="E54" s="19" t="s">
        <v>22</v>
      </c>
      <c r="F54" s="13">
        <f>[5]Hoja1!B88</f>
        <v>85</v>
      </c>
    </row>
    <row r="55" spans="2:15" x14ac:dyDescent="0.25">
      <c r="E55" s="19" t="s">
        <v>73</v>
      </c>
      <c r="F55" s="138">
        <v>190509164</v>
      </c>
    </row>
    <row r="56" spans="2:15" x14ac:dyDescent="0.25">
      <c r="E56" s="19" t="s">
        <v>413</v>
      </c>
      <c r="F56" s="138">
        <v>104033111</v>
      </c>
    </row>
    <row r="57" spans="2:15" x14ac:dyDescent="0.25">
      <c r="E57" s="19" t="s">
        <v>74</v>
      </c>
      <c r="F57" s="23">
        <f>[5]Hoja1!K88</f>
        <v>16137079987.030001</v>
      </c>
    </row>
    <row r="58" spans="2:15" x14ac:dyDescent="0.25">
      <c r="E58" s="19" t="s">
        <v>23</v>
      </c>
      <c r="F58" s="20">
        <f>F57+N33+N50</f>
        <v>16169954065.030001</v>
      </c>
    </row>
    <row r="59" spans="2:15" x14ac:dyDescent="0.25">
      <c r="E59" s="19" t="s">
        <v>24</v>
      </c>
      <c r="F59" s="21">
        <f>N33+N50</f>
        <v>32874078</v>
      </c>
    </row>
    <row r="60" spans="2:15" x14ac:dyDescent="0.25">
      <c r="E60" s="19" t="s">
        <v>25</v>
      </c>
      <c r="F60" s="22">
        <f>F59/F58</f>
        <v>2.0330347178348033E-3</v>
      </c>
    </row>
    <row r="61" spans="2:15" x14ac:dyDescent="0.25">
      <c r="E61" s="19" t="s">
        <v>26</v>
      </c>
      <c r="F61" s="21">
        <f>[5]Hoja1!O20+[5]Hoja1!O21</f>
        <v>3328800</v>
      </c>
    </row>
    <row r="62" spans="2:15" x14ac:dyDescent="0.25">
      <c r="E62" s="19" t="s">
        <v>27</v>
      </c>
      <c r="F62" s="22">
        <f>F61/F58</f>
        <v>2.0586329352654373E-4</v>
      </c>
    </row>
    <row r="63" spans="2:15" x14ac:dyDescent="0.25">
      <c r="E63" s="19" t="s">
        <v>28</v>
      </c>
      <c r="F63" s="21">
        <f>N50</f>
        <v>0</v>
      </c>
    </row>
    <row r="64" spans="2:15" x14ac:dyDescent="0.25">
      <c r="E64" s="19" t="s">
        <v>29</v>
      </c>
      <c r="F64" s="21">
        <f>N33</f>
        <v>32874078</v>
      </c>
    </row>
    <row r="65" spans="5:6" x14ac:dyDescent="0.25">
      <c r="E65" s="19" t="s">
        <v>30</v>
      </c>
      <c r="F65" s="22">
        <f>F64/F58</f>
        <v>2.0330347178348033E-3</v>
      </c>
    </row>
    <row r="66" spans="5:6" x14ac:dyDescent="0.25">
      <c r="E66" s="19" t="s">
        <v>430</v>
      </c>
      <c r="F66" s="73">
        <f>B33+B50</f>
        <v>15</v>
      </c>
    </row>
    <row r="67" spans="5:6" x14ac:dyDescent="0.25">
      <c r="E67" s="1"/>
      <c r="F67" s="28"/>
    </row>
    <row r="69" spans="5:6" x14ac:dyDescent="0.25">
      <c r="E69" s="19" t="s">
        <v>31</v>
      </c>
      <c r="F69" s="23">
        <f>J50</f>
        <v>0</v>
      </c>
    </row>
    <row r="70" spans="5:6" x14ac:dyDescent="0.25">
      <c r="E70" s="19" t="s">
        <v>32</v>
      </c>
      <c r="F70" s="24">
        <f>J44</f>
        <v>0</v>
      </c>
    </row>
    <row r="71" spans="5:6" x14ac:dyDescent="0.25">
      <c r="E71" s="19" t="s">
        <v>33</v>
      </c>
      <c r="F71" s="24">
        <v>0</v>
      </c>
    </row>
    <row r="72" spans="5:6" x14ac:dyDescent="0.25">
      <c r="E72" s="19" t="s">
        <v>34</v>
      </c>
      <c r="F72" s="24">
        <v>0</v>
      </c>
    </row>
    <row r="73" spans="5:6" x14ac:dyDescent="0.25">
      <c r="E73" s="19" t="s">
        <v>36</v>
      </c>
      <c r="F73" s="24"/>
    </row>
    <row r="74" spans="5:6" x14ac:dyDescent="0.25">
      <c r="E74" s="29"/>
      <c r="F74" s="29"/>
    </row>
    <row r="75" spans="5:6" x14ac:dyDescent="0.25">
      <c r="E75" s="25" t="s">
        <v>414</v>
      </c>
      <c r="F75" s="26">
        <v>2.3999999999999998E-3</v>
      </c>
    </row>
  </sheetData>
  <mergeCells count="1">
    <mergeCell ref="E3:G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0EEAF-8D0E-40DC-A97C-EF9EF639E519}">
  <dimension ref="A1:U83"/>
  <sheetViews>
    <sheetView topLeftCell="B59" zoomScale="80" zoomScaleNormal="80" workbookViewId="0">
      <selection activeCell="G65" sqref="G65"/>
    </sheetView>
  </sheetViews>
  <sheetFormatPr baseColWidth="10" defaultRowHeight="15" x14ac:dyDescent="0.25"/>
  <cols>
    <col min="1" max="1" width="8" customWidth="1"/>
    <col min="2" max="2" width="4.5703125" customWidth="1"/>
    <col min="3" max="3" width="5.7109375" customWidth="1"/>
    <col min="4" max="4" width="6" customWidth="1"/>
    <col min="5" max="5" width="20.7109375" customWidth="1"/>
    <col min="6" max="6" width="40" customWidth="1"/>
    <col min="7" max="7" width="20.28515625" bestFit="1" customWidth="1"/>
    <col min="8" max="8" width="15.7109375" customWidth="1"/>
    <col min="9" max="9" width="18.5703125" bestFit="1" customWidth="1"/>
    <col min="10" max="10" width="15.5703125" bestFit="1" customWidth="1"/>
    <col min="11" max="11" width="17.5703125" bestFit="1" customWidth="1"/>
    <col min="13" max="13" width="4" customWidth="1"/>
    <col min="14" max="14" width="4.42578125" customWidth="1"/>
    <col min="15" max="15" width="16.42578125" bestFit="1" customWidth="1"/>
    <col min="16" max="16" width="27.42578125" customWidth="1"/>
    <col min="21" max="21" width="12.7109375" bestFit="1" customWidth="1"/>
  </cols>
  <sheetData>
    <row r="1" spans="1:16" x14ac:dyDescent="0.25">
      <c r="A1" s="1" t="s">
        <v>0</v>
      </c>
      <c r="J1" s="2" t="s">
        <v>37</v>
      </c>
    </row>
    <row r="2" spans="1:16" x14ac:dyDescent="0.25">
      <c r="A2" s="1" t="s">
        <v>1</v>
      </c>
    </row>
    <row r="3" spans="1:16" x14ac:dyDescent="0.25">
      <c r="A3" s="3"/>
      <c r="B3" s="218" t="s">
        <v>323</v>
      </c>
      <c r="C3" s="218"/>
      <c r="D3" s="219"/>
    </row>
    <row r="5" spans="1:16" ht="15.75" thickBot="1" x14ac:dyDescent="0.3"/>
    <row r="6" spans="1:16" x14ac:dyDescent="0.25">
      <c r="A6" s="1"/>
      <c r="C6" s="4"/>
      <c r="E6" s="5"/>
      <c r="F6" s="53" t="s">
        <v>238</v>
      </c>
      <c r="G6" s="47"/>
      <c r="H6" s="47"/>
      <c r="I6" s="47"/>
      <c r="J6" s="47"/>
      <c r="K6" s="48"/>
      <c r="L6" s="47"/>
      <c r="M6" s="49"/>
      <c r="N6" s="47"/>
      <c r="O6" s="102">
        <f>O30</f>
        <v>6268030</v>
      </c>
    </row>
    <row r="7" spans="1:16" x14ac:dyDescent="0.25">
      <c r="A7" s="1"/>
      <c r="C7" s="4"/>
      <c r="E7" s="5"/>
      <c r="F7" s="54" t="s">
        <v>231</v>
      </c>
      <c r="K7" s="6"/>
      <c r="M7" s="4"/>
      <c r="O7" s="103">
        <f>O50+O23</f>
        <v>7886999</v>
      </c>
    </row>
    <row r="8" spans="1:16" x14ac:dyDescent="0.25">
      <c r="A8" s="1"/>
      <c r="C8" s="4"/>
      <c r="E8" s="5"/>
      <c r="F8" s="54" t="s">
        <v>241</v>
      </c>
      <c r="K8" s="6"/>
      <c r="M8" s="4"/>
      <c r="O8" s="103">
        <f>O16</f>
        <v>34074000</v>
      </c>
    </row>
    <row r="9" spans="1:16" ht="15.75" thickBot="1" x14ac:dyDescent="0.3">
      <c r="A9" s="1"/>
      <c r="C9" s="4"/>
      <c r="E9" s="5"/>
      <c r="F9" s="55" t="s">
        <v>95</v>
      </c>
      <c r="G9" s="50"/>
      <c r="H9" s="50"/>
      <c r="I9" s="50"/>
      <c r="J9" s="50"/>
      <c r="K9" s="51"/>
      <c r="L9" s="50"/>
      <c r="M9" s="52"/>
      <c r="N9" s="50"/>
      <c r="O9" s="104">
        <v>0</v>
      </c>
    </row>
    <row r="10" spans="1:16" x14ac:dyDescent="0.25">
      <c r="A10" s="1"/>
      <c r="C10" s="4"/>
      <c r="E10" s="5"/>
    </row>
    <row r="11" spans="1:16" x14ac:dyDescent="0.25">
      <c r="A11" s="1" t="s">
        <v>2</v>
      </c>
      <c r="C11" s="4"/>
      <c r="E11" s="5"/>
      <c r="K11" s="6"/>
      <c r="M11" s="4"/>
      <c r="O11" s="6"/>
    </row>
    <row r="12" spans="1:16" ht="45.75" customHeight="1" x14ac:dyDescent="0.25">
      <c r="A12" s="7" t="s">
        <v>3</v>
      </c>
      <c r="B12" s="7" t="s">
        <v>4</v>
      </c>
      <c r="C12" s="7" t="s">
        <v>5</v>
      </c>
      <c r="D12" s="7" t="s">
        <v>6</v>
      </c>
      <c r="E12" s="10" t="s">
        <v>7</v>
      </c>
      <c r="F12" s="7" t="s">
        <v>8</v>
      </c>
      <c r="G12" s="9" t="s">
        <v>9</v>
      </c>
      <c r="H12" s="9" t="s">
        <v>18</v>
      </c>
      <c r="I12" s="8" t="s">
        <v>10</v>
      </c>
      <c r="J12" s="8" t="s">
        <v>11</v>
      </c>
      <c r="K12" s="12" t="s">
        <v>12</v>
      </c>
      <c r="L12" s="11" t="s">
        <v>13</v>
      </c>
      <c r="M12" s="8" t="s">
        <v>14</v>
      </c>
      <c r="N12" s="8" t="s">
        <v>15</v>
      </c>
      <c r="O12" s="12" t="s">
        <v>16</v>
      </c>
      <c r="P12" s="8" t="s">
        <v>17</v>
      </c>
    </row>
    <row r="13" spans="1:16" x14ac:dyDescent="0.25">
      <c r="A13" s="215"/>
      <c r="B13" s="215"/>
      <c r="C13" s="215"/>
      <c r="D13" s="58"/>
      <c r="E13" s="216"/>
      <c r="F13" s="58" t="str">
        <f>F9</f>
        <v>Cartera Mayor de 90 dias (0)</v>
      </c>
      <c r="G13" s="74"/>
      <c r="H13" s="60"/>
      <c r="I13" s="77"/>
      <c r="J13" s="77"/>
      <c r="K13" s="77"/>
      <c r="L13" s="63"/>
      <c r="M13" s="61"/>
      <c r="N13" s="61"/>
      <c r="O13" s="77"/>
      <c r="P13" s="61"/>
    </row>
    <row r="14" spans="1:16" x14ac:dyDescent="0.25">
      <c r="A14" s="13" t="s">
        <v>77</v>
      </c>
      <c r="B14" s="13"/>
      <c r="C14" s="13"/>
      <c r="D14" s="13"/>
      <c r="E14" s="13"/>
      <c r="F14" s="13"/>
      <c r="G14" s="75"/>
      <c r="H14" s="13"/>
      <c r="I14" s="78"/>
      <c r="J14" s="78" t="e">
        <f>I14/D14</f>
        <v>#DIV/0!</v>
      </c>
      <c r="K14" s="78"/>
      <c r="L14" s="63" t="e">
        <f t="shared" ref="L14:L37" si="0">K14/I14</f>
        <v>#DIV/0!</v>
      </c>
      <c r="M14" s="13"/>
      <c r="N14" s="13"/>
      <c r="O14" s="78"/>
      <c r="P14" s="13"/>
    </row>
    <row r="15" spans="1:16" x14ac:dyDescent="0.25">
      <c r="A15" s="13" t="s">
        <v>77</v>
      </c>
      <c r="B15" s="13"/>
      <c r="C15" s="13"/>
      <c r="D15" s="13"/>
      <c r="E15" s="13"/>
      <c r="F15" s="13"/>
      <c r="G15" s="75"/>
      <c r="H15" s="13"/>
      <c r="I15" s="78"/>
      <c r="J15" s="78" t="e">
        <f t="shared" ref="J15" si="1">I15/D15</f>
        <v>#DIV/0!</v>
      </c>
      <c r="K15" s="78"/>
      <c r="L15" s="63" t="e">
        <f t="shared" si="0"/>
        <v>#DIV/0!</v>
      </c>
      <c r="M15" s="13"/>
      <c r="N15" s="13"/>
      <c r="O15" s="78"/>
      <c r="P15" s="13"/>
    </row>
    <row r="16" spans="1:16" x14ac:dyDescent="0.25">
      <c r="A16" s="64"/>
      <c r="B16" s="64"/>
      <c r="C16" s="64"/>
      <c r="D16" s="64"/>
      <c r="E16" s="64"/>
      <c r="F16" s="65" t="str">
        <f>F8</f>
        <v>Cartera de 61 a 90 dias (4)</v>
      </c>
      <c r="G16" s="76"/>
      <c r="H16" s="64"/>
      <c r="I16" s="93">
        <f>I17+I18+I19+I20</f>
        <v>2245922572</v>
      </c>
      <c r="J16" s="79"/>
      <c r="K16" s="93">
        <f>K17+K18+K19+K20</f>
        <v>441554805.38999999</v>
      </c>
      <c r="L16" s="63"/>
      <c r="M16" s="64"/>
      <c r="N16" s="64"/>
      <c r="O16" s="93">
        <f>O17+O18+O19+O20</f>
        <v>34074000</v>
      </c>
      <c r="P16" s="64"/>
    </row>
    <row r="17" spans="1:21" ht="90" x14ac:dyDescent="0.25">
      <c r="A17" s="13" t="s">
        <v>77</v>
      </c>
      <c r="B17" s="13" t="s">
        <v>168</v>
      </c>
      <c r="C17" s="13" t="s">
        <v>89</v>
      </c>
      <c r="D17" s="13">
        <v>70.819999999999993</v>
      </c>
      <c r="E17" s="13" t="s">
        <v>90</v>
      </c>
      <c r="F17" s="13" t="s">
        <v>93</v>
      </c>
      <c r="G17" s="75">
        <v>44656</v>
      </c>
      <c r="H17" s="88" t="s">
        <v>235</v>
      </c>
      <c r="I17" s="20">
        <v>499393366</v>
      </c>
      <c r="J17" s="78">
        <f t="shared" ref="J17:J37" si="2">I17/D17</f>
        <v>7051586.6421914725</v>
      </c>
      <c r="K17" s="20">
        <v>114726450</v>
      </c>
      <c r="L17" s="63">
        <f t="shared" si="0"/>
        <v>0.22973162603045072</v>
      </c>
      <c r="M17" s="13">
        <v>3</v>
      </c>
      <c r="N17" s="13">
        <v>89</v>
      </c>
      <c r="O17" s="20">
        <v>2948000</v>
      </c>
      <c r="P17" s="83" t="s">
        <v>337</v>
      </c>
    </row>
    <row r="18" spans="1:21" ht="75" x14ac:dyDescent="0.25">
      <c r="A18" s="13" t="s">
        <v>77</v>
      </c>
      <c r="B18" s="13" t="s">
        <v>151</v>
      </c>
      <c r="C18" s="13" t="s">
        <v>91</v>
      </c>
      <c r="D18" s="13">
        <v>65.569999999999993</v>
      </c>
      <c r="E18" s="13" t="s">
        <v>92</v>
      </c>
      <c r="F18" s="13" t="s">
        <v>94</v>
      </c>
      <c r="G18" s="75">
        <v>44575</v>
      </c>
      <c r="H18" s="88" t="s">
        <v>173</v>
      </c>
      <c r="I18" s="20">
        <v>514374361</v>
      </c>
      <c r="J18" s="78">
        <f t="shared" si="2"/>
        <v>7844660.07320421</v>
      </c>
      <c r="K18" s="20">
        <v>95011010</v>
      </c>
      <c r="L18" s="63">
        <f t="shared" si="0"/>
        <v>0.1847117920405057</v>
      </c>
      <c r="M18" s="13">
        <v>3</v>
      </c>
      <c r="N18" s="13">
        <v>88</v>
      </c>
      <c r="O18" s="20">
        <v>5226000</v>
      </c>
      <c r="P18" s="83" t="s">
        <v>338</v>
      </c>
    </row>
    <row r="19" spans="1:21" ht="45" x14ac:dyDescent="0.25">
      <c r="A19" s="13" t="s">
        <v>77</v>
      </c>
      <c r="B19" s="13" t="s">
        <v>165</v>
      </c>
      <c r="C19" s="13" t="s">
        <v>82</v>
      </c>
      <c r="D19" s="13">
        <v>55.41</v>
      </c>
      <c r="E19" s="13" t="s">
        <v>83</v>
      </c>
      <c r="F19" s="83" t="s">
        <v>339</v>
      </c>
      <c r="G19" s="75">
        <v>44678</v>
      </c>
      <c r="H19" s="88">
        <v>46751</v>
      </c>
      <c r="I19" s="20">
        <v>520275150</v>
      </c>
      <c r="J19" s="78">
        <f t="shared" si="2"/>
        <v>9389553.3297238778</v>
      </c>
      <c r="K19" s="20">
        <v>115337575</v>
      </c>
      <c r="L19" s="63">
        <f t="shared" si="0"/>
        <v>0.22168572725412697</v>
      </c>
      <c r="M19" s="13">
        <v>3</v>
      </c>
      <c r="N19" s="13">
        <v>79</v>
      </c>
      <c r="O19" s="20">
        <v>4836000</v>
      </c>
      <c r="P19" s="83" t="s">
        <v>340</v>
      </c>
    </row>
    <row r="20" spans="1:21" ht="45" x14ac:dyDescent="0.25">
      <c r="A20" s="13" t="s">
        <v>77</v>
      </c>
      <c r="B20" s="13" t="s">
        <v>171</v>
      </c>
      <c r="C20" s="13" t="s">
        <v>84</v>
      </c>
      <c r="D20" s="13">
        <v>80.92</v>
      </c>
      <c r="E20" s="13" t="s">
        <v>85</v>
      </c>
      <c r="F20" s="13" t="s">
        <v>88</v>
      </c>
      <c r="G20" s="75">
        <v>45329</v>
      </c>
      <c r="H20" s="88">
        <v>46782</v>
      </c>
      <c r="I20" s="20">
        <v>711879695</v>
      </c>
      <c r="J20" s="78">
        <f t="shared" si="2"/>
        <v>8797326.9278299548</v>
      </c>
      <c r="K20" s="20">
        <v>116479770.39</v>
      </c>
      <c r="L20" s="63">
        <f t="shared" si="0"/>
        <v>0.16362283010474121</v>
      </c>
      <c r="M20" s="13">
        <v>3</v>
      </c>
      <c r="N20" s="13">
        <v>79</v>
      </c>
      <c r="O20" s="20">
        <v>21064000</v>
      </c>
      <c r="P20" s="83" t="s">
        <v>340</v>
      </c>
    </row>
    <row r="21" spans="1:21" x14ac:dyDescent="0.25">
      <c r="A21" s="13"/>
      <c r="B21" s="13"/>
      <c r="C21" s="13"/>
      <c r="D21" s="13"/>
      <c r="E21" s="13"/>
      <c r="F21" s="13"/>
      <c r="G21" s="75"/>
      <c r="H21" s="88"/>
      <c r="I21" s="20"/>
      <c r="J21" s="78" t="e">
        <f t="shared" si="2"/>
        <v>#DIV/0!</v>
      </c>
      <c r="K21" s="20"/>
      <c r="L21" s="63" t="e">
        <f t="shared" si="0"/>
        <v>#DIV/0!</v>
      </c>
      <c r="M21" s="13"/>
      <c r="N21" s="13"/>
      <c r="O21" s="20"/>
      <c r="P21" s="83"/>
    </row>
    <row r="22" spans="1:21" x14ac:dyDescent="0.25">
      <c r="A22" s="13"/>
      <c r="B22" s="13"/>
      <c r="C22" s="13"/>
      <c r="D22" s="13"/>
      <c r="E22" s="13"/>
      <c r="F22" s="13"/>
      <c r="G22" s="75"/>
      <c r="H22" s="88"/>
      <c r="I22" s="20"/>
      <c r="J22" s="78" t="e">
        <f t="shared" si="2"/>
        <v>#DIV/0!</v>
      </c>
      <c r="K22" s="20"/>
      <c r="L22" s="63" t="e">
        <f t="shared" si="0"/>
        <v>#DIV/0!</v>
      </c>
      <c r="M22" s="13"/>
      <c r="N22" s="13"/>
      <c r="O22" s="20"/>
      <c r="P22" s="83"/>
      <c r="U22" s="156"/>
    </row>
    <row r="23" spans="1:21" x14ac:dyDescent="0.25">
      <c r="A23" s="64"/>
      <c r="B23" s="64"/>
      <c r="C23" s="64"/>
      <c r="D23" s="64"/>
      <c r="E23" s="64"/>
      <c r="F23" s="65" t="str">
        <f>F7</f>
        <v>Cartera de 31 a 60 dias (2)</v>
      </c>
      <c r="G23" s="76"/>
      <c r="H23" s="87"/>
      <c r="I23" s="93">
        <f>I24+I25+I27</f>
        <v>1538184357</v>
      </c>
      <c r="J23" s="79" t="e">
        <f t="shared" si="2"/>
        <v>#DIV/0!</v>
      </c>
      <c r="K23" s="93">
        <f>K24+K25+K27</f>
        <v>321761929</v>
      </c>
      <c r="L23" s="63"/>
      <c r="M23" s="64"/>
      <c r="N23" s="64"/>
      <c r="O23" s="93">
        <f>O24+O25+O27</f>
        <v>6910999</v>
      </c>
      <c r="P23" s="64"/>
      <c r="U23" s="156"/>
    </row>
    <row r="24" spans="1:21" ht="30" x14ac:dyDescent="0.25">
      <c r="A24" s="13" t="s">
        <v>77</v>
      </c>
      <c r="B24" s="13" t="s">
        <v>462</v>
      </c>
      <c r="C24" s="13" t="s">
        <v>343</v>
      </c>
      <c r="D24" s="13">
        <v>70.819999999999993</v>
      </c>
      <c r="E24" s="13" t="s">
        <v>342</v>
      </c>
      <c r="F24" s="13" t="s">
        <v>341</v>
      </c>
      <c r="G24" s="75">
        <v>44565</v>
      </c>
      <c r="H24" s="88">
        <v>46888</v>
      </c>
      <c r="I24" s="20">
        <v>604226317</v>
      </c>
      <c r="J24" s="78">
        <f t="shared" si="2"/>
        <v>8531859.8842134997</v>
      </c>
      <c r="K24" s="20">
        <v>134709645</v>
      </c>
      <c r="L24" s="63">
        <f t="shared" si="0"/>
        <v>0.22294567649558369</v>
      </c>
      <c r="M24" s="13">
        <v>2</v>
      </c>
      <c r="N24" s="13">
        <v>33</v>
      </c>
      <c r="O24" s="20">
        <v>2528000</v>
      </c>
      <c r="P24" s="83" t="s">
        <v>344</v>
      </c>
    </row>
    <row r="25" spans="1:21" ht="45" x14ac:dyDescent="0.25">
      <c r="A25" s="13" t="s">
        <v>77</v>
      </c>
      <c r="B25" s="13" t="s">
        <v>169</v>
      </c>
      <c r="C25" s="13" t="s">
        <v>78</v>
      </c>
      <c r="D25" s="13">
        <v>48.59</v>
      </c>
      <c r="E25" s="13" t="s">
        <v>79</v>
      </c>
      <c r="F25" s="13" t="s">
        <v>86</v>
      </c>
      <c r="G25" s="75">
        <v>44579</v>
      </c>
      <c r="H25" s="88" t="s">
        <v>174</v>
      </c>
      <c r="I25" s="20">
        <v>286284133</v>
      </c>
      <c r="J25" s="78">
        <f t="shared" si="2"/>
        <v>5891832.3317555049</v>
      </c>
      <c r="K25" s="20">
        <v>35581041</v>
      </c>
      <c r="L25" s="63">
        <f t="shared" si="0"/>
        <v>0.12428575983985812</v>
      </c>
      <c r="M25" s="13"/>
      <c r="N25" s="13"/>
      <c r="O25" s="20">
        <v>2178999</v>
      </c>
      <c r="P25" s="83" t="s">
        <v>345</v>
      </c>
    </row>
    <row r="26" spans="1:21" ht="45" x14ac:dyDescent="0.25">
      <c r="A26" s="13" t="s">
        <v>77</v>
      </c>
      <c r="B26" s="13" t="s">
        <v>463</v>
      </c>
      <c r="C26" s="13" t="s">
        <v>349</v>
      </c>
      <c r="D26" s="13">
        <v>80.92</v>
      </c>
      <c r="E26" s="13" t="s">
        <v>348</v>
      </c>
      <c r="F26" s="83" t="s">
        <v>347</v>
      </c>
      <c r="G26" s="75">
        <v>44593</v>
      </c>
      <c r="H26" s="88">
        <v>46888</v>
      </c>
      <c r="I26" s="20">
        <v>493401154</v>
      </c>
      <c r="J26" s="78">
        <f t="shared" si="2"/>
        <v>6097394.3895205138</v>
      </c>
      <c r="K26" s="20">
        <v>107493941</v>
      </c>
      <c r="L26" s="63">
        <f t="shared" si="0"/>
        <v>0.21786317305613762</v>
      </c>
      <c r="M26" s="13">
        <v>2</v>
      </c>
      <c r="N26" s="13">
        <v>33</v>
      </c>
      <c r="O26" s="158">
        <v>2003483</v>
      </c>
      <c r="P26" s="83" t="s">
        <v>350</v>
      </c>
    </row>
    <row r="27" spans="1:21" ht="60" x14ac:dyDescent="0.25">
      <c r="A27" s="13" t="s">
        <v>77</v>
      </c>
      <c r="B27" s="13" t="s">
        <v>464</v>
      </c>
      <c r="C27" s="13" t="s">
        <v>353</v>
      </c>
      <c r="D27" s="13">
        <v>92.76</v>
      </c>
      <c r="E27" s="13" t="s">
        <v>352</v>
      </c>
      <c r="F27" s="83" t="s">
        <v>351</v>
      </c>
      <c r="G27" s="75">
        <v>44595</v>
      </c>
      <c r="H27" s="88">
        <v>46884</v>
      </c>
      <c r="I27" s="20">
        <v>647673907</v>
      </c>
      <c r="J27" s="78">
        <f t="shared" si="2"/>
        <v>6982254.279862009</v>
      </c>
      <c r="K27" s="20">
        <v>151471243</v>
      </c>
      <c r="L27" s="63">
        <f t="shared" si="0"/>
        <v>0.23386960839847451</v>
      </c>
      <c r="M27" s="13">
        <v>2</v>
      </c>
      <c r="N27" s="13">
        <v>37</v>
      </c>
      <c r="O27" s="158">
        <v>2204000</v>
      </c>
      <c r="P27" s="83" t="s">
        <v>354</v>
      </c>
    </row>
    <row r="28" spans="1:21" x14ac:dyDescent="0.25">
      <c r="A28" s="13"/>
      <c r="B28" s="13"/>
      <c r="C28" s="13"/>
      <c r="D28" s="13"/>
      <c r="E28" s="13"/>
      <c r="F28" s="13"/>
      <c r="G28" s="75"/>
      <c r="H28" s="88"/>
      <c r="I28" s="20"/>
      <c r="J28" s="78"/>
      <c r="K28" s="20"/>
      <c r="L28" s="63"/>
      <c r="M28" s="13"/>
      <c r="N28" s="13"/>
      <c r="O28" s="158"/>
      <c r="P28" s="83"/>
    </row>
    <row r="29" spans="1:21" x14ac:dyDescent="0.25">
      <c r="A29" s="13"/>
      <c r="B29" s="13"/>
      <c r="C29" s="13"/>
      <c r="D29" s="13"/>
      <c r="E29" s="13"/>
      <c r="F29" s="13"/>
      <c r="G29" s="75"/>
      <c r="H29" s="88"/>
      <c r="I29" s="20"/>
      <c r="J29" s="78" t="e">
        <f t="shared" si="2"/>
        <v>#DIV/0!</v>
      </c>
      <c r="K29" s="20"/>
      <c r="L29" s="63" t="e">
        <f t="shared" si="0"/>
        <v>#DIV/0!</v>
      </c>
      <c r="M29" s="13"/>
      <c r="N29" s="13"/>
      <c r="O29" s="20"/>
      <c r="P29" s="83"/>
    </row>
    <row r="30" spans="1:21" x14ac:dyDescent="0.25">
      <c r="A30" s="64"/>
      <c r="B30" s="64"/>
      <c r="C30" s="64"/>
      <c r="D30" s="64"/>
      <c r="E30" s="64"/>
      <c r="F30" s="65" t="str">
        <f>F6</f>
        <v>Cartera de 6 a 30 dias (5)</v>
      </c>
      <c r="G30" s="76"/>
      <c r="H30" s="87"/>
      <c r="I30" s="93">
        <f>I31+I37</f>
        <v>296735920</v>
      </c>
      <c r="J30" s="79"/>
      <c r="K30" s="93">
        <f>K31+K37</f>
        <v>62391380</v>
      </c>
      <c r="L30" s="63"/>
      <c r="M30" s="64"/>
      <c r="N30" s="64"/>
      <c r="O30" s="93">
        <f>O31+O37+O32+O33+O34+O35+O36</f>
        <v>6268030</v>
      </c>
      <c r="P30" s="64"/>
    </row>
    <row r="31" spans="1:21" ht="60" x14ac:dyDescent="0.25">
      <c r="A31" s="13" t="s">
        <v>77</v>
      </c>
      <c r="B31" s="13" t="s">
        <v>465</v>
      </c>
      <c r="C31" s="13" t="s">
        <v>204</v>
      </c>
      <c r="D31" s="13">
        <v>52.26</v>
      </c>
      <c r="E31" s="13" t="s">
        <v>205</v>
      </c>
      <c r="F31" s="83" t="s">
        <v>206</v>
      </c>
      <c r="G31" s="157">
        <v>44579</v>
      </c>
      <c r="H31" s="88">
        <v>46837</v>
      </c>
      <c r="I31" s="20">
        <v>296735920</v>
      </c>
      <c r="J31" s="78">
        <f t="shared" si="2"/>
        <v>5678069.6517412942</v>
      </c>
      <c r="K31" s="20">
        <v>62391380</v>
      </c>
      <c r="L31" s="63">
        <f t="shared" si="0"/>
        <v>0.21025894000294942</v>
      </c>
      <c r="M31" s="13">
        <v>1</v>
      </c>
      <c r="N31" s="13">
        <v>23</v>
      </c>
      <c r="O31" s="20">
        <v>435000</v>
      </c>
      <c r="P31" s="83" t="s">
        <v>355</v>
      </c>
    </row>
    <row r="32" spans="1:21" ht="30" x14ac:dyDescent="0.25">
      <c r="A32" s="13" t="s">
        <v>77</v>
      </c>
      <c r="B32" s="13" t="s">
        <v>467</v>
      </c>
      <c r="C32" s="13" t="s">
        <v>357</v>
      </c>
      <c r="D32" s="13">
        <v>80.900000000000006</v>
      </c>
      <c r="E32" s="13" t="s">
        <v>358</v>
      </c>
      <c r="F32" s="13" t="s">
        <v>356</v>
      </c>
      <c r="G32" s="157">
        <v>44573</v>
      </c>
      <c r="H32" s="88">
        <v>46862</v>
      </c>
      <c r="I32" s="20">
        <v>517815974</v>
      </c>
      <c r="J32" s="78">
        <f t="shared" si="2"/>
        <v>6400691.8912237324</v>
      </c>
      <c r="K32" s="20">
        <v>106856950</v>
      </c>
      <c r="L32" s="63">
        <f t="shared" si="0"/>
        <v>0.20636086054772809</v>
      </c>
      <c r="M32" s="13">
        <v>1</v>
      </c>
      <c r="N32" s="13">
        <v>29</v>
      </c>
      <c r="O32" s="20">
        <v>1409000</v>
      </c>
      <c r="P32" s="83" t="s">
        <v>359</v>
      </c>
    </row>
    <row r="33" spans="1:16" ht="30" x14ac:dyDescent="0.25">
      <c r="A33" s="13" t="s">
        <v>77</v>
      </c>
      <c r="B33" s="13" t="s">
        <v>468</v>
      </c>
      <c r="C33" s="13" t="s">
        <v>361</v>
      </c>
      <c r="D33" s="13">
        <v>76.75</v>
      </c>
      <c r="E33" s="13" t="s">
        <v>362</v>
      </c>
      <c r="F33" s="83" t="s">
        <v>360</v>
      </c>
      <c r="G33" s="75">
        <v>44572</v>
      </c>
      <c r="H33" s="88">
        <v>46679</v>
      </c>
      <c r="I33" s="20">
        <v>642305094</v>
      </c>
      <c r="J33" s="78">
        <f t="shared" si="2"/>
        <v>8368796.0130293155</v>
      </c>
      <c r="K33" s="20">
        <v>159191570</v>
      </c>
      <c r="L33" s="63">
        <f t="shared" si="0"/>
        <v>0.24784416547068519</v>
      </c>
      <c r="M33" s="13">
        <v>1</v>
      </c>
      <c r="N33" s="13">
        <v>29</v>
      </c>
      <c r="O33" s="20">
        <v>645000</v>
      </c>
      <c r="P33" s="83" t="s">
        <v>363</v>
      </c>
    </row>
    <row r="34" spans="1:16" ht="60" x14ac:dyDescent="0.25">
      <c r="A34" s="13" t="s">
        <v>77</v>
      </c>
      <c r="B34" s="13" t="s">
        <v>466</v>
      </c>
      <c r="C34" s="13" t="s">
        <v>365</v>
      </c>
      <c r="D34" s="13">
        <v>80.92</v>
      </c>
      <c r="E34" s="13" t="s">
        <v>366</v>
      </c>
      <c r="F34" s="83" t="s">
        <v>364</v>
      </c>
      <c r="G34" s="85">
        <v>44573</v>
      </c>
      <c r="H34" s="88">
        <v>46803</v>
      </c>
      <c r="I34" s="20">
        <v>684927994</v>
      </c>
      <c r="J34" s="78">
        <f t="shared" si="2"/>
        <v>8464260.9243697468</v>
      </c>
      <c r="K34" s="20">
        <v>162719868</v>
      </c>
      <c r="L34" s="63">
        <f t="shared" si="0"/>
        <v>0.23757222573092843</v>
      </c>
      <c r="M34" s="13">
        <v>1</v>
      </c>
      <c r="N34" s="13">
        <v>28</v>
      </c>
      <c r="O34" s="20">
        <v>676000</v>
      </c>
      <c r="P34" s="83" t="s">
        <v>363</v>
      </c>
    </row>
    <row r="35" spans="1:16" ht="45" x14ac:dyDescent="0.25">
      <c r="A35" s="13" t="s">
        <v>77</v>
      </c>
      <c r="B35" s="13" t="s">
        <v>469</v>
      </c>
      <c r="C35" s="13" t="s">
        <v>368</v>
      </c>
      <c r="D35" s="13">
        <v>76.75</v>
      </c>
      <c r="E35" s="13" t="s">
        <v>369</v>
      </c>
      <c r="F35" s="170" t="s">
        <v>367</v>
      </c>
      <c r="G35" s="85">
        <v>44582</v>
      </c>
      <c r="H35" s="88">
        <v>46325</v>
      </c>
      <c r="I35" s="20">
        <v>466686710</v>
      </c>
      <c r="J35" s="78">
        <f t="shared" si="2"/>
        <v>6080608.5993485339</v>
      </c>
      <c r="K35" s="20">
        <v>116513690</v>
      </c>
      <c r="L35" s="63">
        <f t="shared" si="0"/>
        <v>0.24966146989701077</v>
      </c>
      <c r="M35" s="13">
        <v>1</v>
      </c>
      <c r="N35" s="13">
        <v>17</v>
      </c>
      <c r="O35" s="20">
        <v>1212030</v>
      </c>
      <c r="P35" s="83" t="s">
        <v>363</v>
      </c>
    </row>
    <row r="36" spans="1:16" ht="45" x14ac:dyDescent="0.25">
      <c r="A36" s="13" t="s">
        <v>77</v>
      </c>
      <c r="B36" s="13" t="s">
        <v>170</v>
      </c>
      <c r="C36" s="13" t="s">
        <v>80</v>
      </c>
      <c r="D36" s="13">
        <v>83.31</v>
      </c>
      <c r="E36" s="13" t="s">
        <v>81</v>
      </c>
      <c r="F36" s="170" t="s">
        <v>87</v>
      </c>
      <c r="G36" s="85">
        <v>44609</v>
      </c>
      <c r="H36" s="88" t="s">
        <v>237</v>
      </c>
      <c r="I36" s="20">
        <v>479564474</v>
      </c>
      <c r="J36" s="78">
        <f t="shared" si="2"/>
        <v>5756385.4759332612</v>
      </c>
      <c r="K36" s="20">
        <v>88549374</v>
      </c>
      <c r="L36" s="63">
        <f t="shared" si="0"/>
        <v>0.18464539973409289</v>
      </c>
      <c r="M36" s="13">
        <v>1</v>
      </c>
      <c r="N36" s="13">
        <v>23</v>
      </c>
      <c r="O36" s="20">
        <v>1891000</v>
      </c>
      <c r="P36" s="83" t="s">
        <v>346</v>
      </c>
    </row>
    <row r="37" spans="1:16" x14ac:dyDescent="0.25">
      <c r="A37" s="13"/>
      <c r="B37" s="13"/>
      <c r="C37" s="13"/>
      <c r="D37" s="13"/>
      <c r="E37" s="13"/>
      <c r="F37" s="13"/>
      <c r="G37" s="75"/>
      <c r="H37" s="88"/>
      <c r="I37" s="20"/>
      <c r="J37" s="78" t="e">
        <f t="shared" si="2"/>
        <v>#DIV/0!</v>
      </c>
      <c r="K37" s="20"/>
      <c r="L37" s="63" t="e">
        <f t="shared" si="0"/>
        <v>#DIV/0!</v>
      </c>
      <c r="M37" s="13"/>
      <c r="N37" s="13"/>
      <c r="O37" s="20"/>
      <c r="P37" s="83"/>
    </row>
    <row r="38" spans="1:16" x14ac:dyDescent="0.25">
      <c r="A38" s="14"/>
      <c r="B38" s="14"/>
      <c r="C38" s="15">
        <f>+COUNTA(C17:C37)</f>
        <v>14</v>
      </c>
      <c r="D38" s="14"/>
      <c r="E38" s="14"/>
      <c r="F38" s="14" t="s">
        <v>19</v>
      </c>
      <c r="G38" s="14"/>
      <c r="H38" s="16"/>
      <c r="I38" s="72">
        <f>I16+I23+I30</f>
        <v>4080842849</v>
      </c>
      <c r="J38" s="17"/>
      <c r="K38" s="16">
        <f>K16+K23+K30</f>
        <v>825708114.38999999</v>
      </c>
      <c r="L38" s="16"/>
      <c r="M38" s="16"/>
      <c r="N38" s="17"/>
      <c r="O38" s="16">
        <f>O16+O23+O30</f>
        <v>47253029</v>
      </c>
    </row>
    <row r="42" spans="1:16" x14ac:dyDescent="0.25">
      <c r="A42" s="1" t="s">
        <v>38</v>
      </c>
      <c r="C42" s="4"/>
      <c r="E42" s="5"/>
      <c r="K42" s="6"/>
      <c r="M42" s="4"/>
      <c r="O42" s="6"/>
    </row>
    <row r="43" spans="1:16" ht="67.5" x14ac:dyDescent="0.25">
      <c r="A43" s="7" t="s">
        <v>3</v>
      </c>
      <c r="B43" s="7" t="s">
        <v>4</v>
      </c>
      <c r="C43" s="7" t="s">
        <v>5</v>
      </c>
      <c r="D43" s="7" t="s">
        <v>6</v>
      </c>
      <c r="E43" s="10" t="s">
        <v>7</v>
      </c>
      <c r="F43" s="7" t="s">
        <v>8</v>
      </c>
      <c r="G43" s="9" t="s">
        <v>9</v>
      </c>
      <c r="H43" s="9" t="s">
        <v>18</v>
      </c>
      <c r="I43" s="8" t="s">
        <v>10</v>
      </c>
      <c r="J43" s="8" t="s">
        <v>11</v>
      </c>
      <c r="K43" s="12" t="s">
        <v>12</v>
      </c>
      <c r="L43" s="11" t="s">
        <v>13</v>
      </c>
      <c r="M43" s="8" t="s">
        <v>14</v>
      </c>
      <c r="N43" s="8" t="s">
        <v>15</v>
      </c>
      <c r="O43" s="12" t="s">
        <v>16</v>
      </c>
      <c r="P43" s="8" t="s">
        <v>17</v>
      </c>
    </row>
    <row r="44" spans="1:16" x14ac:dyDescent="0.25">
      <c r="A44" s="215"/>
      <c r="B44" s="215"/>
      <c r="C44" s="215"/>
      <c r="D44" s="58"/>
      <c r="E44" s="216"/>
      <c r="F44" s="105" t="s">
        <v>66</v>
      </c>
      <c r="G44" s="74"/>
      <c r="H44" s="60"/>
      <c r="I44" s="91"/>
      <c r="J44" s="61"/>
      <c r="K44" s="62"/>
      <c r="L44" s="63"/>
      <c r="M44" s="61"/>
      <c r="N44" s="61"/>
      <c r="O44" s="91"/>
      <c r="P44" s="61"/>
    </row>
    <row r="45" spans="1:16" x14ac:dyDescent="0.25">
      <c r="A45" s="13" t="s">
        <v>77</v>
      </c>
      <c r="B45" s="13"/>
      <c r="C45" s="13"/>
      <c r="D45" s="13"/>
      <c r="E45" s="13"/>
      <c r="F45" s="13"/>
      <c r="G45" s="75"/>
      <c r="H45" s="13"/>
      <c r="I45" s="20"/>
      <c r="J45" s="13" t="e">
        <f>I45/D45</f>
        <v>#DIV/0!</v>
      </c>
      <c r="K45" s="13"/>
      <c r="L45" s="63" t="e">
        <f t="shared" ref="L45:L56" si="3">K45/I45</f>
        <v>#DIV/0!</v>
      </c>
      <c r="M45" s="13"/>
      <c r="N45" s="13"/>
      <c r="O45" s="20"/>
      <c r="P45" s="13"/>
    </row>
    <row r="46" spans="1:16" x14ac:dyDescent="0.25">
      <c r="A46" s="13" t="s">
        <v>77</v>
      </c>
      <c r="B46" s="13"/>
      <c r="C46" s="13"/>
      <c r="D46" s="13"/>
      <c r="E46" s="13"/>
      <c r="F46" s="13"/>
      <c r="G46" s="75"/>
      <c r="H46" s="13"/>
      <c r="I46" s="20"/>
      <c r="J46" s="13" t="e">
        <f t="shared" ref="J46" si="4">I46/D46</f>
        <v>#DIV/0!</v>
      </c>
      <c r="K46" s="13"/>
      <c r="L46" s="63" t="e">
        <f t="shared" si="3"/>
        <v>#DIV/0!</v>
      </c>
      <c r="M46" s="13"/>
      <c r="N46" s="13"/>
      <c r="O46" s="20"/>
      <c r="P46" s="13"/>
    </row>
    <row r="47" spans="1:16" x14ac:dyDescent="0.25">
      <c r="A47" s="64" t="s">
        <v>77</v>
      </c>
      <c r="B47" s="64"/>
      <c r="C47" s="64"/>
      <c r="D47" s="64"/>
      <c r="E47" s="64"/>
      <c r="F47" s="65" t="s">
        <v>65</v>
      </c>
      <c r="G47" s="76"/>
      <c r="H47" s="64"/>
      <c r="I47" s="92"/>
      <c r="J47" s="64"/>
      <c r="K47" s="64"/>
      <c r="L47" s="63"/>
      <c r="M47" s="64"/>
      <c r="N47" s="64"/>
      <c r="O47" s="92" cm="1">
        <f t="array" aca="1" ref="O47:O49" ca="1">O48:O49</f>
        <v>0</v>
      </c>
      <c r="P47" s="64"/>
    </row>
    <row r="48" spans="1:16" x14ac:dyDescent="0.25">
      <c r="A48" s="13" t="s">
        <v>77</v>
      </c>
      <c r="B48" s="13"/>
      <c r="C48" s="13"/>
      <c r="D48" s="13"/>
      <c r="E48" s="13"/>
      <c r="F48" s="13"/>
      <c r="G48" s="75"/>
      <c r="H48" s="13"/>
      <c r="I48" s="20"/>
      <c r="J48" s="13" t="e">
        <f t="shared" ref="J48:J52" si="5">I48/D48</f>
        <v>#DIV/0!</v>
      </c>
      <c r="K48" s="13"/>
      <c r="L48" s="63" t="e">
        <f t="shared" si="3"/>
        <v>#DIV/0!</v>
      </c>
      <c r="M48" s="13"/>
      <c r="N48" s="13"/>
      <c r="O48" s="20">
        <f ca="1"/>
        <v>0</v>
      </c>
      <c r="P48" s="13"/>
    </row>
    <row r="49" spans="1:16" x14ac:dyDescent="0.25">
      <c r="A49" s="13" t="s">
        <v>77</v>
      </c>
      <c r="B49" s="13"/>
      <c r="C49" s="13"/>
      <c r="D49" s="13"/>
      <c r="E49" s="13"/>
      <c r="F49" s="13"/>
      <c r="G49" s="75"/>
      <c r="H49" s="13"/>
      <c r="I49" s="20"/>
      <c r="J49" s="13" t="e">
        <f t="shared" si="5"/>
        <v>#DIV/0!</v>
      </c>
      <c r="K49" s="13"/>
      <c r="L49" s="63" t="e">
        <f t="shared" si="3"/>
        <v>#DIV/0!</v>
      </c>
      <c r="M49" s="13"/>
      <c r="N49" s="13"/>
      <c r="O49" s="20">
        <f ca="1"/>
        <v>0</v>
      </c>
      <c r="P49" s="13"/>
    </row>
    <row r="50" spans="1:16" x14ac:dyDescent="0.25">
      <c r="A50" s="64" t="s">
        <v>77</v>
      </c>
      <c r="B50" s="64"/>
      <c r="C50" s="64"/>
      <c r="D50" s="64"/>
      <c r="E50" s="64"/>
      <c r="F50" s="65" t="s">
        <v>232</v>
      </c>
      <c r="G50" s="76"/>
      <c r="H50" s="64"/>
      <c r="I50" s="93">
        <f>I52</f>
        <v>329513085</v>
      </c>
      <c r="J50" s="64"/>
      <c r="K50" s="93">
        <f>K52</f>
        <v>82135638</v>
      </c>
      <c r="L50" s="63"/>
      <c r="M50" s="64"/>
      <c r="N50" s="64"/>
      <c r="O50" s="93">
        <f>O52</f>
        <v>976000</v>
      </c>
      <c r="P50" s="64"/>
    </row>
    <row r="51" spans="1:16" x14ac:dyDescent="0.25">
      <c r="A51" s="13"/>
      <c r="B51" s="13"/>
      <c r="C51" s="13"/>
      <c r="D51" s="13"/>
      <c r="E51" s="13"/>
      <c r="F51" s="13"/>
      <c r="G51" s="75"/>
      <c r="H51" s="75"/>
      <c r="I51" s="20"/>
      <c r="J51" s="20" t="e">
        <f t="shared" si="5"/>
        <v>#DIV/0!</v>
      </c>
      <c r="K51" s="20"/>
      <c r="L51" s="63" t="e">
        <f t="shared" si="3"/>
        <v>#DIV/0!</v>
      </c>
      <c r="M51" s="13"/>
      <c r="N51" s="13"/>
      <c r="O51" s="20"/>
      <c r="P51" s="83"/>
    </row>
    <row r="52" spans="1:16" ht="45" x14ac:dyDescent="0.25">
      <c r="A52" s="13" t="s">
        <v>77</v>
      </c>
      <c r="B52" s="13" t="s">
        <v>146</v>
      </c>
      <c r="C52" s="13" t="s">
        <v>201</v>
      </c>
      <c r="D52" s="13">
        <v>48.59</v>
      </c>
      <c r="E52" s="13" t="s">
        <v>202</v>
      </c>
      <c r="F52" s="13" t="s">
        <v>203</v>
      </c>
      <c r="G52" s="75">
        <v>44676</v>
      </c>
      <c r="H52" s="75">
        <v>46812</v>
      </c>
      <c r="I52" s="20">
        <v>329513085</v>
      </c>
      <c r="J52" s="20">
        <f t="shared" si="5"/>
        <v>6781499.9999999991</v>
      </c>
      <c r="K52" s="78">
        <v>82135638</v>
      </c>
      <c r="L52" s="63"/>
      <c r="M52" s="13">
        <v>2</v>
      </c>
      <c r="N52" s="13">
        <v>48</v>
      </c>
      <c r="O52" s="20">
        <v>976000</v>
      </c>
      <c r="P52" s="83" t="s">
        <v>207</v>
      </c>
    </row>
    <row r="53" spans="1:16" x14ac:dyDescent="0.25">
      <c r="A53" s="13" t="s">
        <v>77</v>
      </c>
      <c r="B53" s="13"/>
      <c r="C53" s="13"/>
      <c r="D53" s="13"/>
      <c r="E53" s="13"/>
      <c r="F53" s="13"/>
      <c r="G53" s="75"/>
      <c r="H53" s="13"/>
      <c r="I53" s="20"/>
      <c r="J53" s="13"/>
      <c r="K53" s="13"/>
      <c r="L53" s="63"/>
      <c r="M53" s="13"/>
      <c r="N53" s="13"/>
      <c r="O53" s="20"/>
      <c r="P53" s="13"/>
    </row>
    <row r="54" spans="1:16" x14ac:dyDescent="0.25">
      <c r="A54" s="13"/>
      <c r="B54" s="13"/>
      <c r="C54" s="13"/>
      <c r="D54" s="13"/>
      <c r="E54" s="13"/>
      <c r="F54" s="65" t="s">
        <v>63</v>
      </c>
      <c r="G54" s="76"/>
      <c r="H54" s="64"/>
      <c r="I54" s="93" t="e">
        <f>I55+#REF!+I56</f>
        <v>#REF!</v>
      </c>
      <c r="J54" s="64"/>
      <c r="K54" s="101" t="e">
        <f>K55+#REF!+K56</f>
        <v>#REF!</v>
      </c>
      <c r="L54" s="63"/>
      <c r="M54" s="64"/>
      <c r="N54" s="64"/>
      <c r="O54" s="93" t="e">
        <f>O55+#REF!+O56</f>
        <v>#REF!</v>
      </c>
      <c r="P54" s="64"/>
    </row>
    <row r="55" spans="1:16" x14ac:dyDescent="0.25">
      <c r="A55" s="13"/>
      <c r="B55" s="13"/>
      <c r="C55" s="13"/>
      <c r="D55" s="13"/>
      <c r="E55" s="13"/>
      <c r="F55" s="13"/>
      <c r="G55" s="75"/>
      <c r="H55" s="75"/>
      <c r="I55" s="20"/>
      <c r="J55" s="78" t="e">
        <f t="shared" ref="J55:J56" si="6">I55/D55</f>
        <v>#DIV/0!</v>
      </c>
      <c r="K55" s="78"/>
      <c r="L55" s="63" t="e">
        <f t="shared" si="3"/>
        <v>#DIV/0!</v>
      </c>
      <c r="M55" s="13"/>
      <c r="N55" s="13"/>
      <c r="O55" s="20"/>
      <c r="P55" s="83"/>
    </row>
    <row r="56" spans="1:16" x14ac:dyDescent="0.25">
      <c r="A56" s="13"/>
      <c r="B56" s="13"/>
      <c r="C56" s="13"/>
      <c r="D56" s="13"/>
      <c r="E56" s="13"/>
      <c r="F56" s="13"/>
      <c r="G56" s="75"/>
      <c r="H56" s="75"/>
      <c r="I56" s="20"/>
      <c r="J56" s="78" t="e">
        <f t="shared" si="6"/>
        <v>#DIV/0!</v>
      </c>
      <c r="K56" s="13"/>
      <c r="L56" s="63" t="e">
        <f t="shared" si="3"/>
        <v>#DIV/0!</v>
      </c>
      <c r="M56" s="13"/>
      <c r="N56" s="13"/>
      <c r="O56" s="20"/>
      <c r="P56" s="83"/>
    </row>
    <row r="57" spans="1:16" x14ac:dyDescent="0.25">
      <c r="A57" s="14"/>
      <c r="B57" s="14"/>
      <c r="C57" s="15">
        <f>+COUNTA(C48:C56)</f>
        <v>1</v>
      </c>
      <c r="D57" s="14"/>
      <c r="E57" s="14"/>
      <c r="F57" s="14" t="s">
        <v>19</v>
      </c>
      <c r="G57" s="14"/>
      <c r="H57" s="16">
        <f>SUM(H48:H56)</f>
        <v>46812</v>
      </c>
      <c r="I57" s="72" t="e">
        <f>I50+I54</f>
        <v>#REF!</v>
      </c>
      <c r="J57" s="17"/>
      <c r="K57" s="16" t="e">
        <f>K50+K54</f>
        <v>#REF!</v>
      </c>
      <c r="L57" s="16"/>
      <c r="M57" s="16"/>
      <c r="N57" s="17"/>
      <c r="O57" s="72">
        <f>O50</f>
        <v>976000</v>
      </c>
    </row>
    <row r="59" spans="1:16" x14ac:dyDescent="0.25">
      <c r="F59" s="19" t="s">
        <v>20</v>
      </c>
      <c r="G59" s="13">
        <v>85</v>
      </c>
    </row>
    <row r="60" spans="1:16" x14ac:dyDescent="0.25">
      <c r="F60" s="19" t="s">
        <v>21</v>
      </c>
      <c r="G60" s="13">
        <f>G59-G61</f>
        <v>6</v>
      </c>
    </row>
    <row r="61" spans="1:16" x14ac:dyDescent="0.25">
      <c r="F61" s="19" t="s">
        <v>22</v>
      </c>
      <c r="G61" s="13">
        <v>79</v>
      </c>
    </row>
    <row r="62" spans="1:16" x14ac:dyDescent="0.25">
      <c r="F62" s="19" t="s">
        <v>35</v>
      </c>
      <c r="G62" s="78">
        <v>10461813732.539999</v>
      </c>
    </row>
    <row r="63" spans="1:16" x14ac:dyDescent="0.25">
      <c r="F63" s="19" t="s">
        <v>233</v>
      </c>
      <c r="G63" s="82">
        <v>544868826</v>
      </c>
    </row>
    <row r="64" spans="1:16" x14ac:dyDescent="0.25">
      <c r="F64" s="19" t="s">
        <v>335</v>
      </c>
      <c r="G64" s="82">
        <v>59997109</v>
      </c>
    </row>
    <row r="65" spans="6:7" x14ac:dyDescent="0.25">
      <c r="F65" s="19" t="s">
        <v>23</v>
      </c>
      <c r="G65" s="20">
        <f>G62+G66+G68</f>
        <v>10529416589.539999</v>
      </c>
    </row>
    <row r="66" spans="6:7" x14ac:dyDescent="0.25">
      <c r="F66" s="19" t="s">
        <v>24</v>
      </c>
      <c r="G66" s="21">
        <f>O6+O7+O8+O9</f>
        <v>48229029</v>
      </c>
    </row>
    <row r="67" spans="6:7" x14ac:dyDescent="0.25">
      <c r="F67" s="19" t="s">
        <v>25</v>
      </c>
      <c r="G67" s="22">
        <f>G66/G65</f>
        <v>4.5804084765637514E-3</v>
      </c>
    </row>
    <row r="68" spans="6:7" x14ac:dyDescent="0.25">
      <c r="F68" s="19" t="s">
        <v>26</v>
      </c>
      <c r="G68" s="21">
        <v>19373828</v>
      </c>
    </row>
    <row r="69" spans="6:7" x14ac:dyDescent="0.25">
      <c r="F69" s="19" t="s">
        <v>27</v>
      </c>
      <c r="G69" s="22">
        <f>G68/G65</f>
        <v>1.8399716485000797E-3</v>
      </c>
    </row>
    <row r="70" spans="6:7" x14ac:dyDescent="0.25">
      <c r="F70" s="19" t="s">
        <v>28</v>
      </c>
      <c r="G70" s="21">
        <f>O57</f>
        <v>976000</v>
      </c>
    </row>
    <row r="71" spans="6:7" x14ac:dyDescent="0.25">
      <c r="F71" s="19" t="s">
        <v>29</v>
      </c>
      <c r="G71" s="21">
        <f>O38</f>
        <v>47253029</v>
      </c>
    </row>
    <row r="72" spans="6:7" x14ac:dyDescent="0.25">
      <c r="F72" s="19" t="s">
        <v>30</v>
      </c>
      <c r="G72" s="22">
        <f>G71/G65</f>
        <v>4.4877157816076447E-3</v>
      </c>
    </row>
    <row r="73" spans="6:7" x14ac:dyDescent="0.25">
      <c r="F73" s="19" t="s">
        <v>75</v>
      </c>
      <c r="G73" s="73">
        <f>C38+C57</f>
        <v>15</v>
      </c>
    </row>
    <row r="74" spans="6:7" x14ac:dyDescent="0.25">
      <c r="F74" s="1"/>
      <c r="G74" s="28"/>
    </row>
    <row r="76" spans="6:7" x14ac:dyDescent="0.25">
      <c r="F76" s="19" t="s">
        <v>31</v>
      </c>
      <c r="G76" s="23">
        <v>0</v>
      </c>
    </row>
    <row r="77" spans="6:7" x14ac:dyDescent="0.25">
      <c r="F77" s="19" t="s">
        <v>32</v>
      </c>
      <c r="G77" s="24">
        <v>0</v>
      </c>
    </row>
    <row r="78" spans="6:7" x14ac:dyDescent="0.25">
      <c r="F78" s="19" t="s">
        <v>33</v>
      </c>
      <c r="G78" s="24">
        <v>0</v>
      </c>
    </row>
    <row r="79" spans="6:7" x14ac:dyDescent="0.25">
      <c r="F79" s="19" t="s">
        <v>34</v>
      </c>
      <c r="G79" s="24">
        <f>O51</f>
        <v>0</v>
      </c>
    </row>
    <row r="80" spans="6:7" x14ac:dyDescent="0.25">
      <c r="F80" s="19" t="s">
        <v>333</v>
      </c>
      <c r="G80" s="81">
        <v>14</v>
      </c>
    </row>
    <row r="81" spans="6:7" x14ac:dyDescent="0.25">
      <c r="F81" s="1"/>
      <c r="G81" s="29"/>
    </row>
    <row r="83" spans="6:7" x14ac:dyDescent="0.25">
      <c r="F83" s="25" t="s">
        <v>334</v>
      </c>
      <c r="G83" s="26">
        <v>3.6989170392303814E-3</v>
      </c>
    </row>
  </sheetData>
  <mergeCells count="1">
    <mergeCell ref="B3:D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123A7-3481-4D25-9EEC-0E2A172CF70C}">
  <dimension ref="A1:R73"/>
  <sheetViews>
    <sheetView zoomScale="70" zoomScaleNormal="70" workbookViewId="0">
      <selection activeCell="N7" sqref="N7"/>
    </sheetView>
  </sheetViews>
  <sheetFormatPr baseColWidth="10" defaultRowHeight="15" x14ac:dyDescent="0.25"/>
  <cols>
    <col min="1" max="1" width="7.140625" customWidth="1"/>
    <col min="2" max="2" width="7.7109375" customWidth="1"/>
    <col min="3" max="3" width="18.28515625" customWidth="1"/>
    <col min="4" max="4" width="28.7109375" customWidth="1"/>
    <col min="5" max="5" width="17.85546875" customWidth="1"/>
    <col min="6" max="6" width="12.5703125" customWidth="1"/>
    <col min="7" max="7" width="23.140625" style="96" bestFit="1" customWidth="1"/>
    <col min="8" max="8" width="14.7109375" style="96" bestFit="1" customWidth="1"/>
    <col min="9" max="9" width="22.42578125" style="96" bestFit="1" customWidth="1"/>
    <col min="10" max="10" width="8.28515625" customWidth="1"/>
    <col min="11" max="11" width="6.140625" customWidth="1"/>
    <col min="12" max="12" width="5.28515625" customWidth="1"/>
    <col min="13" max="13" width="17.5703125" style="96" customWidth="1"/>
    <col min="14" max="14" width="46.140625" bestFit="1" customWidth="1"/>
    <col min="15" max="15" width="11.5703125" hidden="1" customWidth="1"/>
    <col min="16" max="16" width="40.42578125" bestFit="1" customWidth="1"/>
  </cols>
  <sheetData>
    <row r="1" spans="1:17" x14ac:dyDescent="0.25">
      <c r="C1" s="1" t="s">
        <v>0</v>
      </c>
      <c r="H1" s="2" t="s">
        <v>270</v>
      </c>
    </row>
    <row r="2" spans="1:17" x14ac:dyDescent="0.25">
      <c r="C2" s="1" t="s">
        <v>1</v>
      </c>
    </row>
    <row r="3" spans="1:17" x14ac:dyDescent="0.25">
      <c r="C3" s="3"/>
      <c r="D3" s="218" t="s">
        <v>415</v>
      </c>
      <c r="E3" s="218"/>
      <c r="F3" s="219"/>
    </row>
    <row r="5" spans="1:17" ht="15.75" thickBot="1" x14ac:dyDescent="0.3"/>
    <row r="6" spans="1:17" x14ac:dyDescent="0.25">
      <c r="A6" s="4"/>
      <c r="C6" s="5"/>
      <c r="D6" s="53" t="s">
        <v>63</v>
      </c>
      <c r="E6" s="47"/>
      <c r="F6" s="47"/>
      <c r="G6" s="109"/>
      <c r="H6" s="109"/>
      <c r="I6" s="110"/>
      <c r="J6" s="47"/>
      <c r="K6" s="49"/>
      <c r="L6" s="47"/>
      <c r="M6" s="111">
        <f>M27</f>
        <v>9608000</v>
      </c>
    </row>
    <row r="7" spans="1:17" x14ac:dyDescent="0.25">
      <c r="A7" s="4"/>
      <c r="C7" s="5"/>
      <c r="D7" s="54" t="s">
        <v>64</v>
      </c>
      <c r="I7" s="112"/>
      <c r="K7" s="4"/>
      <c r="M7" s="113">
        <f>M21</f>
        <v>17485945</v>
      </c>
    </row>
    <row r="8" spans="1:17" x14ac:dyDescent="0.25">
      <c r="A8" s="4"/>
      <c r="C8" s="5"/>
      <c r="D8" s="54" t="s">
        <v>65</v>
      </c>
      <c r="I8" s="112"/>
      <c r="K8" s="4"/>
      <c r="M8" s="113">
        <f>M19</f>
        <v>4275000</v>
      </c>
    </row>
    <row r="9" spans="1:17" ht="15.75" thickBot="1" x14ac:dyDescent="0.3">
      <c r="A9" s="4"/>
      <c r="C9" s="5"/>
      <c r="D9" s="55" t="s">
        <v>66</v>
      </c>
      <c r="E9" s="50"/>
      <c r="F9" s="50"/>
      <c r="G9" s="114"/>
      <c r="H9" s="114"/>
      <c r="I9" s="115"/>
      <c r="J9" s="50"/>
      <c r="K9" s="52"/>
      <c r="L9" s="50"/>
      <c r="M9" s="116">
        <f>M13</f>
        <v>88315995</v>
      </c>
    </row>
    <row r="10" spans="1:17" x14ac:dyDescent="0.25">
      <c r="A10" s="4"/>
      <c r="C10" s="5"/>
    </row>
    <row r="11" spans="1:17" x14ac:dyDescent="0.25">
      <c r="A11" s="1" t="s">
        <v>2</v>
      </c>
      <c r="C11" s="5"/>
      <c r="I11" s="112"/>
      <c r="K11" s="4"/>
      <c r="M11" s="112"/>
    </row>
    <row r="12" spans="1:17" ht="40.5" x14ac:dyDescent="0.25">
      <c r="A12" s="7" t="s">
        <v>5</v>
      </c>
      <c r="B12" s="7" t="s">
        <v>6</v>
      </c>
      <c r="C12" s="10" t="s">
        <v>7</v>
      </c>
      <c r="D12" s="7" t="s">
        <v>8</v>
      </c>
      <c r="E12" s="9" t="s">
        <v>9</v>
      </c>
      <c r="F12" s="9" t="s">
        <v>18</v>
      </c>
      <c r="G12" s="117" t="s">
        <v>10</v>
      </c>
      <c r="H12" s="117" t="s">
        <v>11</v>
      </c>
      <c r="I12" s="117" t="s">
        <v>12</v>
      </c>
      <c r="J12" s="11" t="s">
        <v>13</v>
      </c>
      <c r="K12" s="8" t="s">
        <v>14</v>
      </c>
      <c r="L12" s="8" t="s">
        <v>15</v>
      </c>
      <c r="M12" s="117" t="s">
        <v>16</v>
      </c>
      <c r="N12" s="8" t="s">
        <v>17</v>
      </c>
    </row>
    <row r="13" spans="1:17" x14ac:dyDescent="0.25">
      <c r="A13" s="118"/>
      <c r="B13" s="118"/>
      <c r="C13" s="118"/>
      <c r="D13" s="58" t="str">
        <f>D9</f>
        <v xml:space="preserve">Cartera Mayor de 90 dias </v>
      </c>
      <c r="E13" s="118"/>
      <c r="F13" s="118"/>
      <c r="G13" s="91">
        <f>G17+G18+G16+G15</f>
        <v>1866881716</v>
      </c>
      <c r="H13" s="91"/>
      <c r="I13" s="91">
        <f>I17+I18+I16+I15</f>
        <v>433373614</v>
      </c>
      <c r="J13" s="63"/>
      <c r="K13" s="61"/>
      <c r="L13" s="61"/>
      <c r="M13" s="91">
        <f>M17+M18+M16+M15+M14</f>
        <v>88315995</v>
      </c>
      <c r="N13" s="61"/>
    </row>
    <row r="14" spans="1:17" ht="52.15" customHeight="1" x14ac:dyDescent="0.25">
      <c r="A14" s="13" t="s">
        <v>166</v>
      </c>
      <c r="B14" s="13">
        <v>114.6</v>
      </c>
      <c r="C14" s="66" t="s">
        <v>294</v>
      </c>
      <c r="D14" s="86" t="s">
        <v>295</v>
      </c>
      <c r="E14" s="119">
        <v>45695</v>
      </c>
      <c r="F14" s="119">
        <v>46517</v>
      </c>
      <c r="G14" s="20">
        <v>1088802813</v>
      </c>
      <c r="H14" s="20">
        <f t="shared" ref="H14:H18" si="0">G14/B14</f>
        <v>9500897.1465968583</v>
      </c>
      <c r="I14" s="20">
        <v>210782773</v>
      </c>
      <c r="J14" s="120">
        <f t="shared" ref="J14:J32" si="1">I14/G14</f>
        <v>0.19359131927591741</v>
      </c>
      <c r="K14" s="121">
        <v>9</v>
      </c>
      <c r="L14" s="121">
        <v>250</v>
      </c>
      <c r="M14" s="122">
        <v>53025000</v>
      </c>
      <c r="N14" s="83" t="s">
        <v>448</v>
      </c>
    </row>
    <row r="15" spans="1:17" ht="41.45" customHeight="1" x14ac:dyDescent="0.25">
      <c r="A15" s="13" t="s">
        <v>162</v>
      </c>
      <c r="B15" s="13">
        <v>50.82</v>
      </c>
      <c r="C15" s="66" t="s">
        <v>276</v>
      </c>
      <c r="D15" s="86" t="s">
        <v>277</v>
      </c>
      <c r="E15" s="119">
        <v>45754</v>
      </c>
      <c r="F15" s="119">
        <v>46522</v>
      </c>
      <c r="G15" s="20">
        <v>343126476</v>
      </c>
      <c r="H15" s="20">
        <f t="shared" si="0"/>
        <v>6751800</v>
      </c>
      <c r="I15" s="20">
        <v>82391061</v>
      </c>
      <c r="J15" s="120">
        <f t="shared" si="1"/>
        <v>0.24011863485579585</v>
      </c>
      <c r="K15" s="121">
        <v>6</v>
      </c>
      <c r="L15" s="121">
        <v>153</v>
      </c>
      <c r="M15" s="122">
        <v>6450000</v>
      </c>
      <c r="N15" s="83" t="s">
        <v>488</v>
      </c>
      <c r="P15" s="133" t="s">
        <v>493</v>
      </c>
      <c r="Q15" t="s">
        <v>494</v>
      </c>
    </row>
    <row r="16" spans="1:17" ht="39" customHeight="1" x14ac:dyDescent="0.25">
      <c r="A16" s="13" t="s">
        <v>161</v>
      </c>
      <c r="B16" s="13">
        <v>64.900000000000006</v>
      </c>
      <c r="C16" s="66" t="s">
        <v>274</v>
      </c>
      <c r="D16" s="86" t="s">
        <v>275</v>
      </c>
      <c r="E16" s="119">
        <v>45761</v>
      </c>
      <c r="F16" s="119">
        <v>46507</v>
      </c>
      <c r="G16" s="20">
        <v>609808845</v>
      </c>
      <c r="H16" s="20">
        <f t="shared" si="0"/>
        <v>9396130.1232665628</v>
      </c>
      <c r="I16" s="20">
        <v>138772553</v>
      </c>
      <c r="J16" s="120">
        <f t="shared" si="1"/>
        <v>0.22756730102857067</v>
      </c>
      <c r="K16" s="121">
        <v>5</v>
      </c>
      <c r="L16" s="121">
        <v>138</v>
      </c>
      <c r="M16" s="122">
        <v>12769995</v>
      </c>
      <c r="N16" s="83" t="s">
        <v>460</v>
      </c>
      <c r="P16" t="s">
        <v>490</v>
      </c>
    </row>
    <row r="17" spans="1:18" ht="39" customHeight="1" x14ac:dyDescent="0.25">
      <c r="A17" s="13" t="s">
        <v>157</v>
      </c>
      <c r="B17" s="13">
        <v>50.94</v>
      </c>
      <c r="C17" s="66">
        <v>1429635431505</v>
      </c>
      <c r="D17" s="86" t="s">
        <v>271</v>
      </c>
      <c r="E17" s="119">
        <v>45695</v>
      </c>
      <c r="F17" s="119">
        <v>46507</v>
      </c>
      <c r="G17" s="20">
        <v>355558881</v>
      </c>
      <c r="H17" s="20">
        <f t="shared" si="0"/>
        <v>6979954.4758539461</v>
      </c>
      <c r="I17" s="20">
        <v>77110000</v>
      </c>
      <c r="J17" s="120">
        <f t="shared" si="1"/>
        <v>0.2168698466569873</v>
      </c>
      <c r="K17" s="121">
        <v>4</v>
      </c>
      <c r="L17" s="121">
        <v>109</v>
      </c>
      <c r="M17" s="122">
        <v>8540000</v>
      </c>
      <c r="N17" s="123" t="s">
        <v>459</v>
      </c>
      <c r="O17" t="s">
        <v>243</v>
      </c>
    </row>
    <row r="18" spans="1:18" ht="45" x14ac:dyDescent="0.25">
      <c r="A18" s="13" t="s">
        <v>160</v>
      </c>
      <c r="B18" s="13">
        <v>71.42</v>
      </c>
      <c r="C18" s="66" t="s">
        <v>272</v>
      </c>
      <c r="D18" s="86" t="s">
        <v>273</v>
      </c>
      <c r="E18" s="119">
        <v>45780</v>
      </c>
      <c r="F18" s="119">
        <v>46599</v>
      </c>
      <c r="G18" s="20">
        <v>558387514</v>
      </c>
      <c r="H18" s="20">
        <f t="shared" si="0"/>
        <v>7818363.3996079527</v>
      </c>
      <c r="I18" s="20">
        <v>135100000</v>
      </c>
      <c r="J18" s="120">
        <f t="shared" si="1"/>
        <v>0.24194667074880188</v>
      </c>
      <c r="K18" s="121">
        <v>4</v>
      </c>
      <c r="L18" s="121">
        <v>109</v>
      </c>
      <c r="M18" s="122">
        <v>7531000</v>
      </c>
      <c r="N18" s="83" t="s">
        <v>458</v>
      </c>
      <c r="O18" t="s">
        <v>250</v>
      </c>
    </row>
    <row r="19" spans="1:18" x14ac:dyDescent="0.25">
      <c r="A19" s="124"/>
      <c r="B19" s="124"/>
      <c r="C19" s="124"/>
      <c r="D19" s="65" t="str">
        <f>D8</f>
        <v xml:space="preserve">Cartera de 61 a 90 dias </v>
      </c>
      <c r="E19" s="124"/>
      <c r="F19" s="124"/>
      <c r="G19" s="93">
        <f>G20</f>
        <v>511382487</v>
      </c>
      <c r="H19" s="92"/>
      <c r="I19" s="93">
        <f>I20</f>
        <v>136334050</v>
      </c>
      <c r="J19" s="120"/>
      <c r="K19" s="64"/>
      <c r="L19" s="64"/>
      <c r="M19" s="125">
        <f>M20</f>
        <v>4275000</v>
      </c>
      <c r="N19" s="64"/>
    </row>
    <row r="20" spans="1:18" x14ac:dyDescent="0.25">
      <c r="A20" s="13" t="s">
        <v>150</v>
      </c>
      <c r="B20" s="13">
        <v>65.36</v>
      </c>
      <c r="C20" s="66" t="s">
        <v>282</v>
      </c>
      <c r="D20" s="126" t="s">
        <v>283</v>
      </c>
      <c r="E20" s="119">
        <v>45769</v>
      </c>
      <c r="F20" s="119">
        <v>46553</v>
      </c>
      <c r="G20" s="20">
        <v>511382487</v>
      </c>
      <c r="H20" s="20">
        <f t="shared" ref="H20" si="2">G20/B20</f>
        <v>7824089.4583843332</v>
      </c>
      <c r="I20" s="20">
        <v>136334050</v>
      </c>
      <c r="J20" s="120">
        <f t="shared" si="1"/>
        <v>0.26659898112623476</v>
      </c>
      <c r="K20" s="69">
        <v>3</v>
      </c>
      <c r="L20" s="69">
        <v>63</v>
      </c>
      <c r="M20" s="122">
        <v>4275000</v>
      </c>
      <c r="N20" s="13" t="s">
        <v>155</v>
      </c>
      <c r="R20" s="66"/>
    </row>
    <row r="21" spans="1:18" x14ac:dyDescent="0.25">
      <c r="A21" s="124"/>
      <c r="B21" s="124"/>
      <c r="C21" s="124"/>
      <c r="D21" s="65" t="str">
        <f>D7</f>
        <v xml:space="preserve">Catera de 31 a 60dias </v>
      </c>
      <c r="E21" s="124"/>
      <c r="F21" s="124"/>
      <c r="G21" s="93">
        <f>G24+G25+G23+G22</f>
        <v>2240174706</v>
      </c>
      <c r="H21" s="92"/>
      <c r="I21" s="93">
        <f>I24+I25+I23+I26+I22</f>
        <v>570505351</v>
      </c>
      <c r="J21" s="120">
        <f t="shared" si="1"/>
        <v>0.2546700261689322</v>
      </c>
      <c r="K21" s="64"/>
      <c r="L21" s="64"/>
      <c r="M21" s="93">
        <f>M24+M25+M23+M22</f>
        <v>17485945</v>
      </c>
      <c r="N21" s="64"/>
    </row>
    <row r="22" spans="1:18" ht="29.45" customHeight="1" x14ac:dyDescent="0.25">
      <c r="A22" s="13" t="s">
        <v>165</v>
      </c>
      <c r="B22" s="13">
        <v>55.22</v>
      </c>
      <c r="C22" s="66" t="s">
        <v>284</v>
      </c>
      <c r="D22" s="142" t="s">
        <v>285</v>
      </c>
      <c r="E22" s="139">
        <v>45761</v>
      </c>
      <c r="F22" s="139">
        <v>46468</v>
      </c>
      <c r="G22" s="140">
        <v>550000000</v>
      </c>
      <c r="H22" s="20">
        <f t="shared" ref="H22:H32" si="3">G22/B22</f>
        <v>9960159.3625498004</v>
      </c>
      <c r="I22" s="140">
        <v>145560000</v>
      </c>
      <c r="J22" s="120">
        <f t="shared" si="1"/>
        <v>0.26465454545454548</v>
      </c>
      <c r="K22" s="141">
        <v>2</v>
      </c>
      <c r="L22" s="141">
        <v>56</v>
      </c>
      <c r="M22" s="140">
        <v>3780000</v>
      </c>
      <c r="N22" s="13" t="s">
        <v>155</v>
      </c>
    </row>
    <row r="23" spans="1:18" ht="29.45" customHeight="1" x14ac:dyDescent="0.25">
      <c r="A23" s="13" t="s">
        <v>163</v>
      </c>
      <c r="B23" s="13">
        <v>97.54</v>
      </c>
      <c r="C23" t="s">
        <v>286</v>
      </c>
      <c r="D23" s="142" t="s">
        <v>449</v>
      </c>
      <c r="E23" s="139">
        <v>44861</v>
      </c>
      <c r="F23" s="139">
        <v>46538</v>
      </c>
      <c r="G23" s="140">
        <v>890548800</v>
      </c>
      <c r="H23" s="20">
        <f t="shared" si="3"/>
        <v>9130088.1689563245</v>
      </c>
      <c r="I23" s="140">
        <v>233720971</v>
      </c>
      <c r="J23" s="120">
        <f t="shared" si="1"/>
        <v>0.26244600071326807</v>
      </c>
      <c r="K23" s="141">
        <v>2</v>
      </c>
      <c r="L23" s="141">
        <v>48</v>
      </c>
      <c r="M23" s="140">
        <v>4168945</v>
      </c>
      <c r="N23" s="83" t="s">
        <v>457</v>
      </c>
    </row>
    <row r="24" spans="1:18" ht="29.45" customHeight="1" x14ac:dyDescent="0.25">
      <c r="A24" s="13" t="s">
        <v>279</v>
      </c>
      <c r="B24" s="13">
        <v>53.06</v>
      </c>
      <c r="C24" s="66" t="s">
        <v>280</v>
      </c>
      <c r="D24" s="142" t="s">
        <v>281</v>
      </c>
      <c r="E24" s="139">
        <v>45719</v>
      </c>
      <c r="F24" s="139">
        <v>46455</v>
      </c>
      <c r="G24" s="140">
        <v>444452296</v>
      </c>
      <c r="H24" s="20">
        <f t="shared" si="3"/>
        <v>8376409.6494534481</v>
      </c>
      <c r="I24" s="140">
        <v>94127380</v>
      </c>
      <c r="J24" s="120">
        <f t="shared" si="1"/>
        <v>0.21178286364393087</v>
      </c>
      <c r="K24" s="141">
        <v>2</v>
      </c>
      <c r="L24" s="141">
        <v>41</v>
      </c>
      <c r="M24" s="140">
        <v>8120000</v>
      </c>
      <c r="N24" s="142" t="s">
        <v>491</v>
      </c>
    </row>
    <row r="25" spans="1:18" ht="24.6" customHeight="1" x14ac:dyDescent="0.25">
      <c r="A25" s="13" t="s">
        <v>169</v>
      </c>
      <c r="B25" s="13">
        <v>49.1</v>
      </c>
      <c r="C25" s="66" t="s">
        <v>292</v>
      </c>
      <c r="D25" s="142" t="s">
        <v>293</v>
      </c>
      <c r="E25" s="139">
        <v>44806</v>
      </c>
      <c r="F25" s="139">
        <v>46576</v>
      </c>
      <c r="G25" s="140">
        <v>355173610</v>
      </c>
      <c r="H25" s="20">
        <f t="shared" si="3"/>
        <v>7233678.4114052951</v>
      </c>
      <c r="I25" s="140">
        <v>97097000</v>
      </c>
      <c r="J25" s="120">
        <f t="shared" si="1"/>
        <v>0.27337898218282602</v>
      </c>
      <c r="K25" s="141">
        <v>2</v>
      </c>
      <c r="L25" s="141">
        <v>40</v>
      </c>
      <c r="M25" s="140">
        <v>1417000</v>
      </c>
      <c r="N25" s="142" t="s">
        <v>492</v>
      </c>
    </row>
    <row r="26" spans="1:18" x14ac:dyDescent="0.25">
      <c r="A26" s="13"/>
      <c r="B26" s="13"/>
      <c r="C26" s="66"/>
      <c r="D26" s="13"/>
      <c r="E26" s="119"/>
      <c r="F26" s="119"/>
      <c r="G26" s="20"/>
      <c r="H26" s="20"/>
      <c r="I26" s="20"/>
      <c r="J26" s="120"/>
      <c r="K26" s="69"/>
      <c r="L26" s="69"/>
      <c r="M26" s="20"/>
      <c r="N26" s="13"/>
    </row>
    <row r="27" spans="1:18" x14ac:dyDescent="0.25">
      <c r="A27" s="124"/>
      <c r="B27" s="124"/>
      <c r="C27" s="124"/>
      <c r="D27" s="65" t="str">
        <f>D6</f>
        <v xml:space="preserve">Cartera de 6 a 30 dias </v>
      </c>
      <c r="E27" s="124"/>
      <c r="F27" s="124"/>
      <c r="G27" s="93">
        <f>G28+G29+G32+G30+G31</f>
        <v>3082683965</v>
      </c>
      <c r="H27" s="92"/>
      <c r="I27" s="93">
        <f>I28+I29+I32+I30+I31</f>
        <v>796353976</v>
      </c>
      <c r="J27" s="120"/>
      <c r="K27" s="87"/>
      <c r="L27" s="87"/>
      <c r="M27" s="93">
        <f>M28+M29+M32+M30+M31</f>
        <v>9608000</v>
      </c>
      <c r="N27" s="64"/>
    </row>
    <row r="28" spans="1:18" ht="31.9" customHeight="1" x14ac:dyDescent="0.25">
      <c r="A28" s="13" t="s">
        <v>149</v>
      </c>
      <c r="B28" s="13">
        <v>53.58</v>
      </c>
      <c r="C28" s="66" t="s">
        <v>450</v>
      </c>
      <c r="D28" s="133" t="s">
        <v>451</v>
      </c>
      <c r="E28" s="119">
        <v>45789</v>
      </c>
      <c r="F28" s="119">
        <v>46561</v>
      </c>
      <c r="G28" s="20">
        <v>526326200</v>
      </c>
      <c r="H28" s="20">
        <f t="shared" si="3"/>
        <v>9823184.0238895118</v>
      </c>
      <c r="I28" s="20">
        <v>144830000</v>
      </c>
      <c r="J28" s="120">
        <f t="shared" si="1"/>
        <v>0.27517155710660041</v>
      </c>
      <c r="K28" s="69">
        <v>1</v>
      </c>
      <c r="L28" s="69">
        <v>25</v>
      </c>
      <c r="M28" s="20">
        <v>1089000</v>
      </c>
      <c r="N28" s="13" t="s">
        <v>155</v>
      </c>
    </row>
    <row r="29" spans="1:18" ht="21.6" customHeight="1" x14ac:dyDescent="0.25">
      <c r="A29" s="13" t="s">
        <v>287</v>
      </c>
      <c r="B29" s="13">
        <v>113.58</v>
      </c>
      <c r="C29" s="66" t="s">
        <v>288</v>
      </c>
      <c r="D29" s="83" t="s">
        <v>289</v>
      </c>
      <c r="E29" s="119">
        <v>45710</v>
      </c>
      <c r="F29" s="119">
        <v>46537</v>
      </c>
      <c r="G29" s="20">
        <v>1093389931</v>
      </c>
      <c r="H29" s="20">
        <f t="shared" si="3"/>
        <v>9626606.1894699764</v>
      </c>
      <c r="I29" s="20">
        <v>277404742</v>
      </c>
      <c r="J29" s="120">
        <f t="shared" si="1"/>
        <v>0.25371071576110937</v>
      </c>
      <c r="K29" s="69">
        <v>1</v>
      </c>
      <c r="L29" s="69">
        <v>18</v>
      </c>
      <c r="M29" s="20">
        <v>4235000</v>
      </c>
      <c r="N29" s="13" t="s">
        <v>155</v>
      </c>
    </row>
    <row r="30" spans="1:18" ht="21.6" customHeight="1" x14ac:dyDescent="0.25">
      <c r="A30" s="13" t="s">
        <v>452</v>
      </c>
      <c r="B30">
        <v>55.4</v>
      </c>
      <c r="C30" s="66" t="s">
        <v>453</v>
      </c>
      <c r="D30" s="83" t="s">
        <v>454</v>
      </c>
      <c r="E30" s="119">
        <v>45763</v>
      </c>
      <c r="F30" s="119">
        <v>46507</v>
      </c>
      <c r="G30" s="20">
        <v>408410000</v>
      </c>
      <c r="H30" s="20">
        <f t="shared" si="3"/>
        <v>7372021.6606498193</v>
      </c>
      <c r="I30" s="20">
        <v>107045600</v>
      </c>
      <c r="J30" s="120">
        <f t="shared" si="1"/>
        <v>0.26210327856810556</v>
      </c>
      <c r="K30" s="69">
        <v>1</v>
      </c>
      <c r="L30" s="69">
        <v>17</v>
      </c>
      <c r="M30" s="20">
        <v>332000</v>
      </c>
      <c r="N30" s="13" t="s">
        <v>155</v>
      </c>
    </row>
    <row r="31" spans="1:18" ht="21.6" customHeight="1" x14ac:dyDescent="0.25">
      <c r="A31" s="13" t="s">
        <v>164</v>
      </c>
      <c r="B31">
        <v>71.42</v>
      </c>
      <c r="C31" s="66" t="s">
        <v>278</v>
      </c>
      <c r="D31" s="83" t="s">
        <v>455</v>
      </c>
      <c r="E31" s="119">
        <v>44718</v>
      </c>
      <c r="F31" s="119">
        <v>46599</v>
      </c>
      <c r="G31" s="20">
        <v>693594504</v>
      </c>
      <c r="H31" s="20">
        <f t="shared" si="3"/>
        <v>9711488.4346121531</v>
      </c>
      <c r="I31" s="20">
        <v>174966332</v>
      </c>
      <c r="J31" s="120">
        <f t="shared" si="1"/>
        <v>0.25226026300808174</v>
      </c>
      <c r="K31" s="69">
        <v>1</v>
      </c>
      <c r="L31" s="69">
        <v>17</v>
      </c>
      <c r="M31" s="20">
        <v>2682000</v>
      </c>
      <c r="N31" s="13" t="s">
        <v>155</v>
      </c>
    </row>
    <row r="32" spans="1:18" ht="30" x14ac:dyDescent="0.25">
      <c r="A32" s="13" t="s">
        <v>164</v>
      </c>
      <c r="B32" s="13">
        <v>50</v>
      </c>
      <c r="C32" s="66" t="s">
        <v>290</v>
      </c>
      <c r="D32" s="83" t="s">
        <v>291</v>
      </c>
      <c r="E32" s="119">
        <v>45674</v>
      </c>
      <c r="F32" s="119">
        <v>46452</v>
      </c>
      <c r="G32" s="20">
        <v>360963330</v>
      </c>
      <c r="H32" s="20">
        <f t="shared" si="3"/>
        <v>7219266.5999999996</v>
      </c>
      <c r="I32" s="20">
        <v>92107302</v>
      </c>
      <c r="J32" s="120">
        <f t="shared" si="1"/>
        <v>0.25517080086777788</v>
      </c>
      <c r="K32" s="69">
        <v>1</v>
      </c>
      <c r="L32" s="69">
        <v>11</v>
      </c>
      <c r="M32" s="20">
        <v>1270000</v>
      </c>
      <c r="N32" s="13" t="s">
        <v>155</v>
      </c>
    </row>
    <row r="33" spans="1:15" x14ac:dyDescent="0.25">
      <c r="A33" s="15">
        <f>+COUNTA(A17:A32)</f>
        <v>12</v>
      </c>
      <c r="B33" s="14"/>
      <c r="C33" s="14"/>
      <c r="D33" s="14" t="s">
        <v>19</v>
      </c>
      <c r="E33" s="14"/>
      <c r="F33" s="16"/>
      <c r="G33" s="128">
        <f>G13+G19+G21+G27</f>
        <v>7701122874</v>
      </c>
      <c r="H33" s="16"/>
      <c r="I33" s="128">
        <f>I13+I19+I21+I27</f>
        <v>1936566991</v>
      </c>
      <c r="J33" s="16"/>
      <c r="K33" s="16"/>
      <c r="L33" s="17"/>
      <c r="M33" s="17">
        <f>M13+M19+M21+M27</f>
        <v>119684940</v>
      </c>
    </row>
    <row r="37" spans="1:15" x14ac:dyDescent="0.25">
      <c r="A37" s="4"/>
      <c r="C37" s="5"/>
      <c r="I37" s="112"/>
      <c r="K37" s="4"/>
      <c r="M37" s="112"/>
    </row>
    <row r="38" spans="1:15" ht="40.5" x14ac:dyDescent="0.25">
      <c r="A38" s="7" t="s">
        <v>5</v>
      </c>
      <c r="B38" s="7" t="s">
        <v>6</v>
      </c>
      <c r="C38" s="10" t="s">
        <v>7</v>
      </c>
      <c r="D38" s="7" t="s">
        <v>8</v>
      </c>
      <c r="E38" s="9" t="s">
        <v>9</v>
      </c>
      <c r="F38" s="9" t="s">
        <v>18</v>
      </c>
      <c r="G38" s="117" t="s">
        <v>10</v>
      </c>
      <c r="H38" s="117" t="s">
        <v>11</v>
      </c>
      <c r="I38" s="117" t="s">
        <v>12</v>
      </c>
      <c r="J38" s="11" t="s">
        <v>13</v>
      </c>
      <c r="K38" s="8" t="s">
        <v>14</v>
      </c>
      <c r="L38" s="8" t="s">
        <v>15</v>
      </c>
      <c r="M38" s="117" t="s">
        <v>16</v>
      </c>
      <c r="N38" s="8" t="s">
        <v>17</v>
      </c>
    </row>
    <row r="39" spans="1:15" x14ac:dyDescent="0.25">
      <c r="A39" s="60"/>
      <c r="B39" s="60"/>
      <c r="C39" s="60"/>
      <c r="D39" s="58" t="s">
        <v>66</v>
      </c>
      <c r="E39" s="60"/>
      <c r="F39" s="60"/>
      <c r="G39" s="91">
        <f>G40</f>
        <v>0</v>
      </c>
      <c r="H39" s="91"/>
      <c r="I39" s="91">
        <f>I40</f>
        <v>0</v>
      </c>
      <c r="J39" s="63"/>
      <c r="K39" s="61"/>
      <c r="L39" s="61"/>
      <c r="M39" s="91">
        <f>M40</f>
        <v>0</v>
      </c>
      <c r="N39" s="61"/>
    </row>
    <row r="40" spans="1:15" ht="19.899999999999999" customHeight="1" x14ac:dyDescent="0.25">
      <c r="A40" s="69"/>
      <c r="B40" s="129"/>
      <c r="C40" s="127"/>
      <c r="D40" s="83"/>
      <c r="E40" s="85"/>
      <c r="F40" s="85"/>
      <c r="G40" s="130"/>
      <c r="H40" s="20" t="e">
        <f t="shared" ref="H40" si="4">G40/B40</f>
        <v>#DIV/0!</v>
      </c>
      <c r="I40" s="131"/>
      <c r="J40" s="120" t="e">
        <f t="shared" ref="J40" si="5">I40/G40</f>
        <v>#DIV/0!</v>
      </c>
      <c r="K40" s="121"/>
      <c r="L40" s="121"/>
      <c r="M40" s="132"/>
      <c r="N40" s="83"/>
      <c r="O40" s="133" t="s">
        <v>167</v>
      </c>
    </row>
    <row r="41" spans="1:15" x14ac:dyDescent="0.25">
      <c r="A41" s="64"/>
      <c r="B41" s="64"/>
      <c r="C41" s="64"/>
      <c r="D41" s="65" t="s">
        <v>65</v>
      </c>
      <c r="E41" s="64"/>
      <c r="F41" s="64"/>
      <c r="G41" s="92"/>
      <c r="H41" s="92"/>
      <c r="I41" s="92"/>
      <c r="J41" s="64"/>
      <c r="K41" s="64"/>
      <c r="L41" s="64"/>
      <c r="M41" s="125"/>
      <c r="N41" s="64"/>
    </row>
    <row r="42" spans="1:15" x14ac:dyDescent="0.25">
      <c r="A42" s="69"/>
      <c r="B42" s="69"/>
      <c r="C42" s="84"/>
      <c r="D42" s="13"/>
      <c r="E42" s="85"/>
      <c r="F42" s="85"/>
      <c r="G42" s="20"/>
      <c r="H42" s="20"/>
      <c r="I42" s="20"/>
      <c r="J42" s="63"/>
      <c r="K42" s="13"/>
      <c r="L42" s="13"/>
      <c r="M42" s="20"/>
      <c r="N42" s="83"/>
    </row>
    <row r="43" spans="1:15" x14ac:dyDescent="0.25">
      <c r="A43" s="64"/>
      <c r="B43" s="64"/>
      <c r="C43" s="64"/>
      <c r="D43" s="65" t="s">
        <v>64</v>
      </c>
      <c r="E43" s="64"/>
      <c r="F43" s="64"/>
      <c r="G43" s="92"/>
      <c r="H43" s="92"/>
      <c r="I43" s="92"/>
      <c r="J43" s="64"/>
      <c r="K43" s="64"/>
      <c r="L43" s="64"/>
      <c r="M43" s="92" cm="1">
        <f t="array" aca="1" ref="M43:M45" ca="1">M44:M46</f>
        <v>0</v>
      </c>
      <c r="N43" s="64"/>
    </row>
    <row r="44" spans="1:15" x14ac:dyDescent="0.25">
      <c r="A44" s="13"/>
      <c r="B44" s="13"/>
      <c r="C44" s="13"/>
      <c r="D44" s="13"/>
      <c r="E44" s="13"/>
      <c r="F44" s="13"/>
      <c r="G44" s="20"/>
      <c r="H44" s="20"/>
      <c r="I44" s="20"/>
      <c r="J44" s="13"/>
      <c r="K44" s="13"/>
      <c r="L44" s="13"/>
      <c r="M44" s="20">
        <f ca="1"/>
        <v>0</v>
      </c>
      <c r="N44" s="13"/>
    </row>
    <row r="45" spans="1:15" x14ac:dyDescent="0.25">
      <c r="A45" s="13"/>
      <c r="B45" s="13"/>
      <c r="C45" s="13"/>
      <c r="D45" s="13"/>
      <c r="E45" s="13"/>
      <c r="F45" s="13"/>
      <c r="G45" s="20"/>
      <c r="H45" s="20"/>
      <c r="I45" s="20"/>
      <c r="J45" s="13"/>
      <c r="K45" s="13"/>
      <c r="L45" s="13"/>
      <c r="M45" s="20">
        <f ca="1"/>
        <v>0</v>
      </c>
      <c r="N45" s="13"/>
    </row>
    <row r="46" spans="1:15" x14ac:dyDescent="0.25">
      <c r="A46" s="64"/>
      <c r="B46" s="64"/>
      <c r="C46" s="64"/>
      <c r="D46" s="65" t="s">
        <v>63</v>
      </c>
      <c r="E46" s="64"/>
      <c r="F46" s="64"/>
      <c r="G46" s="93">
        <f>G47</f>
        <v>0</v>
      </c>
      <c r="H46" s="92"/>
      <c r="I46" s="93">
        <f>I47</f>
        <v>0</v>
      </c>
      <c r="J46" s="64"/>
      <c r="K46" s="64"/>
      <c r="L46" s="64"/>
      <c r="M46" s="93">
        <f>M47</f>
        <v>0</v>
      </c>
      <c r="N46" s="64"/>
    </row>
    <row r="47" spans="1:15" x14ac:dyDescent="0.25">
      <c r="A47" s="69"/>
      <c r="B47" s="134"/>
      <c r="C47" s="84"/>
      <c r="D47" s="13"/>
      <c r="E47" s="75"/>
      <c r="F47" s="13"/>
      <c r="G47" s="20"/>
      <c r="H47" s="20"/>
      <c r="I47" s="135"/>
      <c r="J47" s="120" t="e">
        <f t="shared" ref="J47" si="6">I47/G47</f>
        <v>#DIV/0!</v>
      </c>
      <c r="K47" s="13"/>
      <c r="L47" s="13"/>
      <c r="M47" s="20"/>
      <c r="N47" s="83"/>
    </row>
    <row r="48" spans="1:15" x14ac:dyDescent="0.25">
      <c r="A48" s="15">
        <f>+COUNTA(A40:A47)</f>
        <v>0</v>
      </c>
      <c r="B48" s="14"/>
      <c r="C48" s="14"/>
      <c r="D48" s="14" t="s">
        <v>19</v>
      </c>
      <c r="E48" s="14"/>
      <c r="F48" s="16">
        <f>SUM(F42:F47)</f>
        <v>0</v>
      </c>
      <c r="G48" s="128">
        <f>G39+G46</f>
        <v>0</v>
      </c>
      <c r="H48" s="136"/>
      <c r="I48" s="128">
        <f>I39+I46</f>
        <v>0</v>
      </c>
      <c r="J48" s="16"/>
      <c r="K48" s="16"/>
      <c r="L48" s="17"/>
      <c r="M48" s="137">
        <f>M39</f>
        <v>0</v>
      </c>
    </row>
    <row r="50" spans="4:5" x14ac:dyDescent="0.25">
      <c r="D50" s="18" t="s">
        <v>20</v>
      </c>
      <c r="E50" s="13">
        <v>66</v>
      </c>
    </row>
    <row r="51" spans="4:5" x14ac:dyDescent="0.25">
      <c r="D51" s="18" t="s">
        <v>21</v>
      </c>
      <c r="E51" s="13">
        <f>E50-E52</f>
        <v>9</v>
      </c>
    </row>
    <row r="52" spans="4:5" x14ac:dyDescent="0.25">
      <c r="D52" s="19" t="s">
        <v>22</v>
      </c>
      <c r="E52" s="13">
        <f>[6]Hoja1!B60</f>
        <v>57</v>
      </c>
    </row>
    <row r="53" spans="4:5" x14ac:dyDescent="0.25">
      <c r="D53" s="19" t="s">
        <v>73</v>
      </c>
      <c r="E53" s="138">
        <f>[6]Hoja1!K60</f>
        <v>119979515</v>
      </c>
    </row>
    <row r="54" spans="4:5" x14ac:dyDescent="0.25">
      <c r="D54" s="19" t="s">
        <v>413</v>
      </c>
      <c r="E54" s="138">
        <f>[6]Hoja1!M60</f>
        <v>143733631</v>
      </c>
    </row>
    <row r="55" spans="4:5" x14ac:dyDescent="0.25">
      <c r="D55" s="19" t="s">
        <v>74</v>
      </c>
      <c r="E55" s="23">
        <f>[6]Hoja1!N60</f>
        <v>11465135897.940001</v>
      </c>
    </row>
    <row r="56" spans="4:5" x14ac:dyDescent="0.25">
      <c r="D56" s="19" t="s">
        <v>23</v>
      </c>
      <c r="E56" s="20">
        <f>E55+M33+M48</f>
        <v>11584820837.940001</v>
      </c>
    </row>
    <row r="57" spans="4:5" x14ac:dyDescent="0.25">
      <c r="D57" s="19" t="s">
        <v>24</v>
      </c>
      <c r="E57" s="21">
        <f>M33+M48</f>
        <v>119684940</v>
      </c>
    </row>
    <row r="58" spans="4:5" x14ac:dyDescent="0.25">
      <c r="D58" s="19" t="s">
        <v>25</v>
      </c>
      <c r="E58" s="22">
        <f>E57/E56</f>
        <v>1.0331186098971405E-2</v>
      </c>
    </row>
    <row r="59" spans="4:5" x14ac:dyDescent="0.25">
      <c r="D59" s="19" t="s">
        <v>26</v>
      </c>
      <c r="E59" s="21">
        <f>[6]Hoja1!Q19+[6]Hoja1!Q20+[6]Hoja1!Q21+[6]Hoja1!Q21+[6]Hoja1!Q22+[6]Hoja1!Q23</f>
        <v>16593000</v>
      </c>
    </row>
    <row r="60" spans="4:5" x14ac:dyDescent="0.25">
      <c r="D60" s="19" t="s">
        <v>27</v>
      </c>
      <c r="E60" s="22">
        <f>E59/E56</f>
        <v>1.4323052753356649E-3</v>
      </c>
    </row>
    <row r="61" spans="4:5" x14ac:dyDescent="0.25">
      <c r="D61" s="19" t="s">
        <v>28</v>
      </c>
      <c r="E61" s="21">
        <f>M48</f>
        <v>0</v>
      </c>
    </row>
    <row r="62" spans="4:5" x14ac:dyDescent="0.25">
      <c r="D62" s="19" t="s">
        <v>29</v>
      </c>
      <c r="E62" s="21">
        <f>M33</f>
        <v>119684940</v>
      </c>
    </row>
    <row r="63" spans="4:5" x14ac:dyDescent="0.25">
      <c r="D63" s="19" t="s">
        <v>30</v>
      </c>
      <c r="E63" s="22">
        <f>E62/E56</f>
        <v>1.0331186098971405E-2</v>
      </c>
    </row>
    <row r="64" spans="4:5" x14ac:dyDescent="0.25">
      <c r="D64" s="19" t="s">
        <v>265</v>
      </c>
      <c r="E64" s="73">
        <f>A33+A48</f>
        <v>12</v>
      </c>
    </row>
    <row r="65" spans="4:5" x14ac:dyDescent="0.25">
      <c r="D65" s="1"/>
      <c r="E65" s="28"/>
    </row>
    <row r="67" spans="4:5" x14ac:dyDescent="0.25">
      <c r="D67" s="19" t="s">
        <v>31</v>
      </c>
      <c r="E67" s="23">
        <f>I48</f>
        <v>0</v>
      </c>
    </row>
    <row r="68" spans="4:5" x14ac:dyDescent="0.25">
      <c r="D68" s="19" t="s">
        <v>32</v>
      </c>
      <c r="E68" s="24">
        <v>0</v>
      </c>
    </row>
    <row r="69" spans="4:5" x14ac:dyDescent="0.25">
      <c r="D69" s="19" t="s">
        <v>33</v>
      </c>
      <c r="E69" s="24">
        <v>0</v>
      </c>
    </row>
    <row r="70" spans="4:5" x14ac:dyDescent="0.25">
      <c r="D70" s="19" t="s">
        <v>34</v>
      </c>
      <c r="E70" s="24">
        <v>0</v>
      </c>
    </row>
    <row r="71" spans="4:5" x14ac:dyDescent="0.25">
      <c r="D71" s="19" t="s">
        <v>36</v>
      </c>
      <c r="E71" s="24"/>
    </row>
    <row r="72" spans="4:5" x14ac:dyDescent="0.25">
      <c r="D72" s="29"/>
      <c r="E72" s="29"/>
    </row>
    <row r="73" spans="4:5" x14ac:dyDescent="0.25">
      <c r="D73" s="25" t="s">
        <v>414</v>
      </c>
      <c r="E73" s="26">
        <v>7.1999999999999998E-3</v>
      </c>
    </row>
  </sheetData>
  <mergeCells count="1">
    <mergeCell ref="D3:F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E08F5-F45B-4560-9757-253C9E422163}">
  <dimension ref="A1:Q87"/>
  <sheetViews>
    <sheetView topLeftCell="D63" zoomScale="80" zoomScaleNormal="80" workbookViewId="0">
      <selection activeCell="P28" sqref="P28"/>
    </sheetView>
  </sheetViews>
  <sheetFormatPr baseColWidth="10" defaultRowHeight="15" x14ac:dyDescent="0.25"/>
  <cols>
    <col min="1" max="1" width="8.28515625" customWidth="1"/>
    <col min="2" max="2" width="4.140625" customWidth="1"/>
    <col min="5" max="5" width="15.140625" bestFit="1" customWidth="1"/>
    <col min="6" max="6" width="37.140625" bestFit="1" customWidth="1"/>
    <col min="7" max="7" width="20.28515625" bestFit="1" customWidth="1"/>
    <col min="8" max="8" width="11.42578125" customWidth="1"/>
    <col min="9" max="9" width="19.28515625" customWidth="1"/>
    <col min="10" max="10" width="16.42578125" bestFit="1" customWidth="1"/>
    <col min="11" max="11" width="19.28515625" bestFit="1" customWidth="1"/>
    <col min="13" max="13" width="3.85546875" customWidth="1"/>
    <col min="14" max="14" width="4.42578125" bestFit="1" customWidth="1"/>
    <col min="15" max="15" width="16.42578125" bestFit="1" customWidth="1"/>
    <col min="16" max="16" width="40.5703125" customWidth="1"/>
  </cols>
  <sheetData>
    <row r="1" spans="1:16" x14ac:dyDescent="0.25">
      <c r="A1" s="1" t="s">
        <v>0</v>
      </c>
      <c r="J1" s="2" t="s">
        <v>37</v>
      </c>
    </row>
    <row r="2" spans="1:16" x14ac:dyDescent="0.25">
      <c r="A2" s="1" t="s">
        <v>1</v>
      </c>
    </row>
    <row r="3" spans="1:16" x14ac:dyDescent="0.25">
      <c r="A3" s="3"/>
      <c r="B3" s="218" t="s">
        <v>323</v>
      </c>
      <c r="C3" s="218"/>
      <c r="D3" s="219"/>
      <c r="E3" t="s">
        <v>199</v>
      </c>
    </row>
    <row r="5" spans="1:16" ht="15.75" thickBot="1" x14ac:dyDescent="0.3">
      <c r="P5" t="s">
        <v>317</v>
      </c>
    </row>
    <row r="6" spans="1:16" x14ac:dyDescent="0.25">
      <c r="A6" s="1" t="s">
        <v>2</v>
      </c>
      <c r="C6" s="4"/>
      <c r="E6" s="5"/>
      <c r="F6" s="53" t="s">
        <v>401</v>
      </c>
      <c r="G6" s="47"/>
      <c r="H6" s="47"/>
      <c r="I6" s="47"/>
      <c r="J6" s="47"/>
      <c r="K6" s="48"/>
      <c r="L6" s="47"/>
      <c r="M6" s="49"/>
      <c r="N6" s="47"/>
      <c r="O6" s="106">
        <f>O36</f>
        <v>6368000</v>
      </c>
    </row>
    <row r="7" spans="1:16" x14ac:dyDescent="0.25">
      <c r="A7" s="1"/>
      <c r="C7" s="4"/>
      <c r="E7" s="5"/>
      <c r="F7" s="54" t="s">
        <v>240</v>
      </c>
      <c r="K7" s="6"/>
      <c r="M7" s="4"/>
      <c r="O7" s="107">
        <f>O26</f>
        <v>46299686</v>
      </c>
    </row>
    <row r="8" spans="1:16" x14ac:dyDescent="0.25">
      <c r="A8" s="1"/>
      <c r="C8" s="4"/>
      <c r="E8" s="5"/>
      <c r="F8" s="54" t="s">
        <v>402</v>
      </c>
      <c r="K8" s="6"/>
      <c r="M8" s="4"/>
      <c r="O8" s="107">
        <f>O18</f>
        <v>68995724</v>
      </c>
    </row>
    <row r="9" spans="1:16" ht="15.75" thickBot="1" x14ac:dyDescent="0.3">
      <c r="A9" s="1"/>
      <c r="C9" s="4"/>
      <c r="E9" s="5"/>
      <c r="F9" s="55" t="s">
        <v>403</v>
      </c>
      <c r="G9" s="50"/>
      <c r="H9" s="50"/>
      <c r="I9" s="50"/>
      <c r="J9" s="50"/>
      <c r="K9" s="51"/>
      <c r="L9" s="50"/>
      <c r="M9" s="52"/>
      <c r="N9" s="50"/>
      <c r="O9" s="108">
        <f>O13+O47</f>
        <v>40332717</v>
      </c>
    </row>
    <row r="10" spans="1:16" x14ac:dyDescent="0.25">
      <c r="A10" s="1"/>
      <c r="C10" s="4"/>
      <c r="E10" s="5"/>
    </row>
    <row r="11" spans="1:16" x14ac:dyDescent="0.25">
      <c r="A11" s="1"/>
      <c r="C11" s="4"/>
      <c r="E11" s="5"/>
      <c r="K11" s="6"/>
      <c r="M11" s="4"/>
      <c r="O11" s="6"/>
    </row>
    <row r="12" spans="1:16" ht="67.5" x14ac:dyDescent="0.25">
      <c r="A12" s="7" t="s">
        <v>3</v>
      </c>
      <c r="B12" s="7" t="s">
        <v>4</v>
      </c>
      <c r="C12" s="7" t="s">
        <v>5</v>
      </c>
      <c r="D12" s="7" t="s">
        <v>6</v>
      </c>
      <c r="E12" s="10" t="s">
        <v>7</v>
      </c>
      <c r="F12" s="7" t="s">
        <v>8</v>
      </c>
      <c r="G12" s="9" t="s">
        <v>9</v>
      </c>
      <c r="H12" s="9" t="s">
        <v>18</v>
      </c>
      <c r="I12" s="8" t="s">
        <v>10</v>
      </c>
      <c r="J12" s="8" t="s">
        <v>11</v>
      </c>
      <c r="K12" s="12" t="s">
        <v>12</v>
      </c>
      <c r="L12" s="11" t="s">
        <v>13</v>
      </c>
      <c r="M12" s="8" t="s">
        <v>14</v>
      </c>
      <c r="N12" s="8" t="s">
        <v>15</v>
      </c>
      <c r="O12" s="12" t="s">
        <v>16</v>
      </c>
      <c r="P12" s="8" t="s">
        <v>17</v>
      </c>
    </row>
    <row r="13" spans="1:16" x14ac:dyDescent="0.25">
      <c r="A13" s="56"/>
      <c r="B13" s="56"/>
      <c r="C13" s="56"/>
      <c r="D13" s="57"/>
      <c r="E13" s="59"/>
      <c r="F13" s="58" t="str">
        <f>F9</f>
        <v>Cartera Mayor de 90 dias (4)</v>
      </c>
      <c r="G13" s="74"/>
      <c r="H13" s="60"/>
      <c r="I13" s="97">
        <f>I14+I15+I16</f>
        <v>2744055216</v>
      </c>
      <c r="J13" s="61"/>
      <c r="K13" s="97">
        <f>K14+K15+K16</f>
        <v>721278309</v>
      </c>
      <c r="L13" s="63"/>
      <c r="M13" s="61"/>
      <c r="N13" s="61"/>
      <c r="O13" s="97">
        <f>O14+O15+O16</f>
        <v>30782717</v>
      </c>
      <c r="P13" s="61"/>
    </row>
    <row r="14" spans="1:16" ht="45" x14ac:dyDescent="0.25">
      <c r="A14" s="13" t="s">
        <v>48</v>
      </c>
      <c r="B14" s="13" t="s">
        <v>175</v>
      </c>
      <c r="C14" s="69" t="s">
        <v>196</v>
      </c>
      <c r="D14" s="69">
        <v>70.77</v>
      </c>
      <c r="E14" s="13" t="s">
        <v>116</v>
      </c>
      <c r="F14" s="13" t="s">
        <v>117</v>
      </c>
      <c r="G14" s="88">
        <v>45835</v>
      </c>
      <c r="H14" s="75">
        <v>46560</v>
      </c>
      <c r="I14" s="20">
        <v>715986417</v>
      </c>
      <c r="J14" s="78">
        <f>I14/D14</f>
        <v>10117089.402289106</v>
      </c>
      <c r="K14" s="20">
        <v>210153208</v>
      </c>
      <c r="L14" s="63">
        <f t="shared" ref="L14:L40" si="0">K14/I14</f>
        <v>0.29351563522747665</v>
      </c>
      <c r="M14" s="13">
        <v>1</v>
      </c>
      <c r="N14" s="13">
        <v>169</v>
      </c>
      <c r="O14" s="20">
        <v>4642717</v>
      </c>
      <c r="P14" s="83" t="s">
        <v>372</v>
      </c>
    </row>
    <row r="15" spans="1:16" ht="44.25" customHeight="1" x14ac:dyDescent="0.25">
      <c r="A15" s="13" t="s">
        <v>48</v>
      </c>
      <c r="B15" s="13" t="s">
        <v>134</v>
      </c>
      <c r="C15" s="69" t="s">
        <v>195</v>
      </c>
      <c r="D15" s="69">
        <v>70.819999999999993</v>
      </c>
      <c r="E15" s="13" t="s">
        <v>99</v>
      </c>
      <c r="F15" s="13" t="s">
        <v>106</v>
      </c>
      <c r="G15" s="88">
        <v>45761</v>
      </c>
      <c r="H15" s="75">
        <v>46492</v>
      </c>
      <c r="I15" s="20">
        <v>696031701</v>
      </c>
      <c r="J15" s="78">
        <f t="shared" ref="J15:J40" si="1">I15/D15</f>
        <v>9828179.9068059884</v>
      </c>
      <c r="K15" s="20">
        <v>179240975</v>
      </c>
      <c r="L15" s="63">
        <f t="shared" si="0"/>
        <v>0.25751840719680091</v>
      </c>
      <c r="M15" s="13">
        <v>4</v>
      </c>
      <c r="N15" s="13">
        <v>94</v>
      </c>
      <c r="O15" s="20">
        <v>7300000</v>
      </c>
      <c r="P15" s="83" t="s">
        <v>375</v>
      </c>
    </row>
    <row r="16" spans="1:16" ht="44.25" customHeight="1" x14ac:dyDescent="0.25">
      <c r="A16" s="13" t="s">
        <v>48</v>
      </c>
      <c r="B16" s="13" t="s">
        <v>67</v>
      </c>
      <c r="C16" s="69" t="s">
        <v>194</v>
      </c>
      <c r="D16" s="69">
        <v>145.34</v>
      </c>
      <c r="E16" s="13" t="s">
        <v>98</v>
      </c>
      <c r="F16" s="13" t="s">
        <v>105</v>
      </c>
      <c r="G16" s="88">
        <v>45714</v>
      </c>
      <c r="H16" s="75">
        <v>46489</v>
      </c>
      <c r="I16" s="20">
        <v>1332037098</v>
      </c>
      <c r="J16" s="78">
        <f t="shared" si="1"/>
        <v>9164972.4645658452</v>
      </c>
      <c r="K16" s="20">
        <v>331884126</v>
      </c>
      <c r="L16" s="63">
        <f t="shared" si="0"/>
        <v>0.24915531744446956</v>
      </c>
      <c r="M16" s="13">
        <v>4</v>
      </c>
      <c r="N16" s="13">
        <v>97</v>
      </c>
      <c r="O16" s="20">
        <v>18840000</v>
      </c>
      <c r="P16" s="83" t="s">
        <v>376</v>
      </c>
    </row>
    <row r="17" spans="1:16" x14ac:dyDescent="0.25">
      <c r="A17" s="13" t="s">
        <v>48</v>
      </c>
      <c r="B17" s="13"/>
      <c r="C17" s="69"/>
      <c r="D17" s="69"/>
      <c r="E17" s="13"/>
      <c r="F17" s="13"/>
      <c r="G17" s="88"/>
      <c r="H17" s="75"/>
      <c r="I17" s="78"/>
      <c r="J17" s="78" t="e">
        <f>I17/D17</f>
        <v>#DIV/0!</v>
      </c>
      <c r="K17" s="78"/>
      <c r="L17" s="63" t="e">
        <f t="shared" si="0"/>
        <v>#DIV/0!</v>
      </c>
      <c r="M17" s="13"/>
      <c r="N17" s="13"/>
      <c r="O17" s="78"/>
      <c r="P17" s="13"/>
    </row>
    <row r="18" spans="1:16" x14ac:dyDescent="0.25">
      <c r="A18" s="13"/>
      <c r="B18" s="13"/>
      <c r="C18" s="13"/>
      <c r="D18" s="13"/>
      <c r="E18" s="13"/>
      <c r="F18" s="65" t="str">
        <f>F8</f>
        <v>Cartera de 61 a 90 dias (6)</v>
      </c>
      <c r="G18" s="76"/>
      <c r="H18" s="76"/>
      <c r="I18" s="93">
        <f>I19+I20+I21+I22+I23+I24</f>
        <v>4524909768</v>
      </c>
      <c r="J18" s="79"/>
      <c r="K18" s="93">
        <f>K19+K20+K21+K22+K23+K24</f>
        <v>999120867</v>
      </c>
      <c r="L18" s="63"/>
      <c r="M18" s="64"/>
      <c r="N18" s="64"/>
      <c r="O18" s="93">
        <f>O19+O20+O21+O22+O23+O24</f>
        <v>68995724</v>
      </c>
      <c r="P18" s="64"/>
    </row>
    <row r="19" spans="1:16" ht="75.75" customHeight="1" x14ac:dyDescent="0.25">
      <c r="A19" s="13" t="s">
        <v>48</v>
      </c>
      <c r="B19" s="13" t="s">
        <v>176</v>
      </c>
      <c r="C19" s="69" t="s">
        <v>193</v>
      </c>
      <c r="D19" s="69">
        <v>88.72</v>
      </c>
      <c r="E19" s="13" t="s">
        <v>113</v>
      </c>
      <c r="F19" s="13" t="s">
        <v>115</v>
      </c>
      <c r="G19" s="88">
        <v>45762</v>
      </c>
      <c r="H19" s="75">
        <v>46540</v>
      </c>
      <c r="I19" s="82">
        <v>640388470</v>
      </c>
      <c r="J19" s="90">
        <f t="shared" si="1"/>
        <v>7218084.6483318303</v>
      </c>
      <c r="K19" s="82">
        <v>154743194</v>
      </c>
      <c r="L19" s="63">
        <f t="shared" si="0"/>
        <v>0.24163956918212473</v>
      </c>
      <c r="M19" s="13">
        <v>3</v>
      </c>
      <c r="N19" s="13">
        <v>76</v>
      </c>
      <c r="O19" s="82">
        <v>6061176</v>
      </c>
      <c r="P19" s="83" t="s">
        <v>379</v>
      </c>
    </row>
    <row r="20" spans="1:16" ht="45" x14ac:dyDescent="0.25">
      <c r="A20" s="13" t="s">
        <v>48</v>
      </c>
      <c r="B20" s="13" t="s">
        <v>146</v>
      </c>
      <c r="C20" s="69" t="s">
        <v>182</v>
      </c>
      <c r="D20" s="69">
        <v>48.59</v>
      </c>
      <c r="E20" s="13" t="s">
        <v>102</v>
      </c>
      <c r="F20" s="13" t="s">
        <v>109</v>
      </c>
      <c r="G20" s="88">
        <v>44676</v>
      </c>
      <c r="H20" s="75">
        <v>46499</v>
      </c>
      <c r="I20" s="82">
        <v>333018762</v>
      </c>
      <c r="J20" s="90">
        <f t="shared" si="1"/>
        <v>6853648.1168964803</v>
      </c>
      <c r="K20" s="82">
        <v>87429347</v>
      </c>
      <c r="L20" s="63">
        <f t="shared" si="0"/>
        <v>0.26253579970968721</v>
      </c>
      <c r="M20" s="13">
        <v>3</v>
      </c>
      <c r="N20" s="13">
        <v>79</v>
      </c>
      <c r="O20" s="82">
        <v>4130653</v>
      </c>
      <c r="P20" s="83" t="s">
        <v>377</v>
      </c>
    </row>
    <row r="21" spans="1:16" ht="30" x14ac:dyDescent="0.25">
      <c r="A21" s="13" t="s">
        <v>48</v>
      </c>
      <c r="B21" s="13" t="s">
        <v>166</v>
      </c>
      <c r="C21" s="69" t="s">
        <v>183</v>
      </c>
      <c r="D21" s="69">
        <v>140.13</v>
      </c>
      <c r="E21" s="13" t="s">
        <v>103</v>
      </c>
      <c r="F21" s="13" t="s">
        <v>110</v>
      </c>
      <c r="G21" s="88">
        <v>45761</v>
      </c>
      <c r="H21" s="75">
        <v>46538</v>
      </c>
      <c r="I21" s="82">
        <v>1346194869</v>
      </c>
      <c r="J21" s="90">
        <f t="shared" si="1"/>
        <v>9606757.0755726825</v>
      </c>
      <c r="K21" s="82">
        <v>317531591</v>
      </c>
      <c r="L21" s="63">
        <f t="shared" si="0"/>
        <v>0.23587342242351095</v>
      </c>
      <c r="M21" s="13">
        <v>3</v>
      </c>
      <c r="N21" s="13">
        <v>79</v>
      </c>
      <c r="O21" s="82">
        <v>17757000</v>
      </c>
      <c r="P21" s="83" t="s">
        <v>378</v>
      </c>
    </row>
    <row r="22" spans="1:16" ht="30" x14ac:dyDescent="0.25">
      <c r="A22" s="13" t="s">
        <v>48</v>
      </c>
      <c r="B22" s="13" t="s">
        <v>153</v>
      </c>
      <c r="C22" s="69" t="s">
        <v>185</v>
      </c>
      <c r="D22" s="69">
        <v>89.55</v>
      </c>
      <c r="E22" s="13" t="s">
        <v>112</v>
      </c>
      <c r="F22" s="13" t="s">
        <v>114</v>
      </c>
      <c r="G22" s="88">
        <v>45754</v>
      </c>
      <c r="H22" s="75">
        <v>46522</v>
      </c>
      <c r="I22" s="20">
        <v>658763435</v>
      </c>
      <c r="J22" s="90">
        <f t="shared" si="1"/>
        <v>7356375.6002233392</v>
      </c>
      <c r="K22" s="82">
        <v>142016007</v>
      </c>
      <c r="L22" s="63">
        <f t="shared" si="0"/>
        <v>0.21557967466728023</v>
      </c>
      <c r="M22" s="13">
        <v>3</v>
      </c>
      <c r="N22" s="13">
        <v>63</v>
      </c>
      <c r="O22" s="82">
        <v>14369995</v>
      </c>
      <c r="P22" s="83" t="s">
        <v>200</v>
      </c>
    </row>
    <row r="23" spans="1:16" ht="90" x14ac:dyDescent="0.25">
      <c r="A23" s="13" t="s">
        <v>48</v>
      </c>
      <c r="B23" s="13" t="s">
        <v>72</v>
      </c>
      <c r="C23" s="69" t="s">
        <v>184</v>
      </c>
      <c r="D23" s="69">
        <v>89.85</v>
      </c>
      <c r="E23" s="13" t="s">
        <v>96</v>
      </c>
      <c r="F23" s="13" t="s">
        <v>316</v>
      </c>
      <c r="G23" s="88">
        <v>44855</v>
      </c>
      <c r="H23" s="75">
        <v>46767</v>
      </c>
      <c r="I23" s="20">
        <v>906345816</v>
      </c>
      <c r="J23" s="90">
        <f t="shared" si="1"/>
        <v>10087321.268781302</v>
      </c>
      <c r="K23" s="82">
        <v>142000000</v>
      </c>
      <c r="L23" s="63">
        <f t="shared" si="0"/>
        <v>0.15667309043990776</v>
      </c>
      <c r="M23" s="13">
        <v>3</v>
      </c>
      <c r="N23" s="13">
        <v>63</v>
      </c>
      <c r="O23" s="82">
        <v>19356900</v>
      </c>
      <c r="P23" s="83" t="s">
        <v>380</v>
      </c>
    </row>
    <row r="24" spans="1:16" ht="60" x14ac:dyDescent="0.25">
      <c r="A24" s="13" t="s">
        <v>48</v>
      </c>
      <c r="B24" s="13" t="s">
        <v>131</v>
      </c>
      <c r="C24" s="69" t="s">
        <v>181</v>
      </c>
      <c r="D24" s="69">
        <v>88.72</v>
      </c>
      <c r="E24" s="13" t="s">
        <v>101</v>
      </c>
      <c r="F24" s="13" t="s">
        <v>108</v>
      </c>
      <c r="G24" s="88">
        <v>45695</v>
      </c>
      <c r="H24" s="75">
        <v>46507</v>
      </c>
      <c r="I24" s="20">
        <v>640198416</v>
      </c>
      <c r="J24" s="90">
        <f t="shared" si="1"/>
        <v>7215942.4706943193</v>
      </c>
      <c r="K24" s="82">
        <v>155400728</v>
      </c>
      <c r="L24" s="63">
        <f t="shared" si="0"/>
        <v>0.24273838253295521</v>
      </c>
      <c r="M24" s="13">
        <v>3</v>
      </c>
      <c r="N24" s="13">
        <v>79</v>
      </c>
      <c r="O24" s="82">
        <v>7320000</v>
      </c>
      <c r="P24" s="83" t="s">
        <v>381</v>
      </c>
    </row>
    <row r="25" spans="1:16" x14ac:dyDescent="0.25">
      <c r="A25" s="13"/>
      <c r="B25" s="13"/>
      <c r="C25" s="69"/>
      <c r="D25" s="69"/>
      <c r="E25" s="13"/>
      <c r="F25" s="13"/>
      <c r="G25" s="88"/>
      <c r="H25" s="75"/>
      <c r="I25" s="20"/>
      <c r="J25" s="78" t="e">
        <f t="shared" si="1"/>
        <v>#DIV/0!</v>
      </c>
      <c r="K25" s="20"/>
      <c r="L25" s="63" t="e">
        <f t="shared" si="0"/>
        <v>#DIV/0!</v>
      </c>
      <c r="M25" s="13"/>
      <c r="N25" s="13"/>
      <c r="O25" s="20"/>
      <c r="P25" s="83"/>
    </row>
    <row r="26" spans="1:16" x14ac:dyDescent="0.25">
      <c r="A26" s="13"/>
      <c r="B26" s="13"/>
      <c r="C26" s="13"/>
      <c r="D26" s="13"/>
      <c r="E26" s="13"/>
      <c r="F26" s="65" t="str">
        <f>F7</f>
        <v xml:space="preserve">Cartera de 31 a 60 dias (8) </v>
      </c>
      <c r="G26" s="76"/>
      <c r="H26" s="76"/>
      <c r="I26" s="93">
        <f>I27+I28+I29+I30+I31+I32+I33+I34</f>
        <v>4578280581</v>
      </c>
      <c r="J26" s="79"/>
      <c r="K26" s="93">
        <f>K27+K28+K29+K30+K31+K32+K33+K34</f>
        <v>1105420504</v>
      </c>
      <c r="L26" s="63"/>
      <c r="M26" s="64"/>
      <c r="N26" s="64"/>
      <c r="O26" s="93">
        <f>O27+O28+O29+O30+O31+O32+O33+O34</f>
        <v>46299686</v>
      </c>
      <c r="P26" s="64"/>
    </row>
    <row r="27" spans="1:16" x14ac:dyDescent="0.25">
      <c r="A27" s="13" t="s">
        <v>48</v>
      </c>
      <c r="B27" s="13" t="s">
        <v>234</v>
      </c>
      <c r="C27" s="69" t="s">
        <v>178</v>
      </c>
      <c r="D27" s="69">
        <v>55.56</v>
      </c>
      <c r="E27" s="13" t="s">
        <v>118</v>
      </c>
      <c r="F27" s="13" t="s">
        <v>119</v>
      </c>
      <c r="G27" s="88">
        <v>45799</v>
      </c>
      <c r="H27" s="75">
        <v>46540</v>
      </c>
      <c r="I27" s="20">
        <v>389078004</v>
      </c>
      <c r="J27" s="78">
        <f t="shared" si="1"/>
        <v>7002843.8444924401</v>
      </c>
      <c r="K27" s="20">
        <v>90008000</v>
      </c>
      <c r="L27" s="63">
        <f t="shared" si="0"/>
        <v>0.23133664477213675</v>
      </c>
      <c r="M27" s="13">
        <v>2</v>
      </c>
      <c r="N27" s="13">
        <v>46</v>
      </c>
      <c r="O27" s="20">
        <v>4456000</v>
      </c>
      <c r="P27" s="13" t="s">
        <v>387</v>
      </c>
    </row>
    <row r="28" spans="1:16" ht="30" x14ac:dyDescent="0.25">
      <c r="A28" s="13" t="s">
        <v>48</v>
      </c>
      <c r="B28" s="13" t="s">
        <v>151</v>
      </c>
      <c r="C28" s="69" t="s">
        <v>197</v>
      </c>
      <c r="D28" s="69">
        <v>65.569999999999993</v>
      </c>
      <c r="E28" s="13" t="s">
        <v>122</v>
      </c>
      <c r="F28" s="13" t="s">
        <v>124</v>
      </c>
      <c r="G28" s="88">
        <v>45761</v>
      </c>
      <c r="H28" s="75">
        <v>46492</v>
      </c>
      <c r="I28" s="20">
        <v>574970216</v>
      </c>
      <c r="J28" s="78">
        <f t="shared" si="1"/>
        <v>8768800</v>
      </c>
      <c r="K28" s="20">
        <v>142807306</v>
      </c>
      <c r="L28" s="63">
        <f t="shared" si="0"/>
        <v>0.24837339748394899</v>
      </c>
      <c r="M28" s="13">
        <v>2</v>
      </c>
      <c r="N28" s="13">
        <v>33</v>
      </c>
      <c r="O28" s="20">
        <v>5868668</v>
      </c>
      <c r="P28" s="83" t="s">
        <v>373</v>
      </c>
    </row>
    <row r="29" spans="1:16" ht="60" x14ac:dyDescent="0.25">
      <c r="A29" s="13" t="s">
        <v>48</v>
      </c>
      <c r="B29" s="13" t="s">
        <v>470</v>
      </c>
      <c r="C29" s="69" t="s">
        <v>384</v>
      </c>
      <c r="D29" s="69">
        <v>65.569999999999993</v>
      </c>
      <c r="E29" s="13" t="s">
        <v>385</v>
      </c>
      <c r="F29" s="83" t="s">
        <v>383</v>
      </c>
      <c r="G29" s="88">
        <v>45716</v>
      </c>
      <c r="H29" s="75">
        <v>46487</v>
      </c>
      <c r="I29" s="20">
        <v>464366459</v>
      </c>
      <c r="J29" s="78">
        <f t="shared" si="1"/>
        <v>7081995.7145035844</v>
      </c>
      <c r="K29" s="20">
        <v>131211225</v>
      </c>
      <c r="L29" s="63">
        <f t="shared" si="0"/>
        <v>0.2825596518804559</v>
      </c>
      <c r="M29" s="13">
        <v>2</v>
      </c>
      <c r="N29" s="13">
        <v>38</v>
      </c>
      <c r="O29" s="20">
        <v>959999</v>
      </c>
      <c r="P29" s="13" t="s">
        <v>386</v>
      </c>
    </row>
    <row r="30" spans="1:16" x14ac:dyDescent="0.25">
      <c r="A30" s="13" t="s">
        <v>48</v>
      </c>
      <c r="B30" s="13" t="s">
        <v>141</v>
      </c>
      <c r="C30" s="69" t="s">
        <v>179</v>
      </c>
      <c r="D30" s="69">
        <v>65.569999999999993</v>
      </c>
      <c r="E30" s="13" t="s">
        <v>104</v>
      </c>
      <c r="F30" s="13" t="s">
        <v>111</v>
      </c>
      <c r="G30" s="88">
        <v>45700</v>
      </c>
      <c r="H30" s="75">
        <v>46511</v>
      </c>
      <c r="I30" s="20">
        <v>612577576</v>
      </c>
      <c r="J30" s="78">
        <f t="shared" si="1"/>
        <v>9342345.2188500855</v>
      </c>
      <c r="K30" s="20">
        <v>135166307</v>
      </c>
      <c r="L30" s="63">
        <f t="shared" si="0"/>
        <v>0.22065173831958876</v>
      </c>
      <c r="M30" s="13">
        <v>2</v>
      </c>
      <c r="N30" s="13">
        <v>44</v>
      </c>
      <c r="O30" s="20">
        <v>5000000</v>
      </c>
      <c r="P30" s="83" t="s">
        <v>388</v>
      </c>
    </row>
    <row r="31" spans="1:16" ht="70.5" customHeight="1" x14ac:dyDescent="0.25">
      <c r="A31" s="13" t="s">
        <v>48</v>
      </c>
      <c r="B31" s="13" t="s">
        <v>168</v>
      </c>
      <c r="C31" s="69" t="s">
        <v>180</v>
      </c>
      <c r="D31" s="69">
        <v>70.819999999999993</v>
      </c>
      <c r="E31" s="13" t="s">
        <v>120</v>
      </c>
      <c r="F31" s="83" t="s">
        <v>121</v>
      </c>
      <c r="G31" s="88">
        <v>45761</v>
      </c>
      <c r="H31" s="75">
        <v>46514</v>
      </c>
      <c r="I31" s="82">
        <v>573636862</v>
      </c>
      <c r="J31" s="90">
        <f t="shared" si="1"/>
        <v>8099927.4498729184</v>
      </c>
      <c r="K31" s="82">
        <v>163723966</v>
      </c>
      <c r="L31" s="63">
        <f t="shared" si="0"/>
        <v>0.28541395584163137</v>
      </c>
      <c r="M31" s="13">
        <v>2</v>
      </c>
      <c r="N31" s="13">
        <v>41</v>
      </c>
      <c r="O31" s="82">
        <v>1520000</v>
      </c>
      <c r="P31" s="13" t="s">
        <v>387</v>
      </c>
    </row>
    <row r="32" spans="1:16" ht="45" x14ac:dyDescent="0.25">
      <c r="A32" s="13" t="s">
        <v>48</v>
      </c>
      <c r="B32" s="13" t="s">
        <v>177</v>
      </c>
      <c r="C32" s="69" t="s">
        <v>186</v>
      </c>
      <c r="D32" s="69">
        <v>88.74</v>
      </c>
      <c r="E32" s="13" t="s">
        <v>187</v>
      </c>
      <c r="F32" s="13" t="s">
        <v>191</v>
      </c>
      <c r="G32" s="88">
        <v>45720</v>
      </c>
      <c r="H32" s="75">
        <v>46464</v>
      </c>
      <c r="I32" s="20">
        <v>783908255</v>
      </c>
      <c r="J32" s="78">
        <f t="shared" si="1"/>
        <v>8833764.4241604693</v>
      </c>
      <c r="K32" s="20">
        <v>195913007</v>
      </c>
      <c r="L32" s="63">
        <f t="shared" si="0"/>
        <v>0.24991828539935454</v>
      </c>
      <c r="M32" s="13">
        <v>2</v>
      </c>
      <c r="N32" s="13">
        <v>60</v>
      </c>
      <c r="O32" s="20">
        <v>6780000</v>
      </c>
      <c r="P32" s="83" t="s">
        <v>382</v>
      </c>
    </row>
    <row r="33" spans="1:17" x14ac:dyDescent="0.25">
      <c r="A33" s="13" t="s">
        <v>48</v>
      </c>
      <c r="B33" s="13" t="s">
        <v>136</v>
      </c>
      <c r="C33" s="69" t="s">
        <v>188</v>
      </c>
      <c r="D33" s="69">
        <v>8664</v>
      </c>
      <c r="E33" s="13" t="s">
        <v>100</v>
      </c>
      <c r="F33" s="13" t="s">
        <v>107</v>
      </c>
      <c r="G33" s="88">
        <v>45762</v>
      </c>
      <c r="H33" s="75">
        <v>46560</v>
      </c>
      <c r="I33" s="20">
        <v>670053000</v>
      </c>
      <c r="J33" s="78">
        <f t="shared" si="1"/>
        <v>77337.603878116337</v>
      </c>
      <c r="K33" s="20">
        <v>131590693</v>
      </c>
      <c r="L33" s="63">
        <f t="shared" si="0"/>
        <v>0.19638848419453386</v>
      </c>
      <c r="M33" s="13">
        <v>2</v>
      </c>
      <c r="N33" s="13">
        <v>35</v>
      </c>
      <c r="O33" s="20">
        <v>9729269</v>
      </c>
      <c r="P33" s="13" t="s">
        <v>389</v>
      </c>
    </row>
    <row r="34" spans="1:17" ht="60" x14ac:dyDescent="0.25">
      <c r="A34" s="13" t="s">
        <v>48</v>
      </c>
      <c r="B34" s="13" t="s">
        <v>129</v>
      </c>
      <c r="C34" s="69" t="s">
        <v>189</v>
      </c>
      <c r="D34" s="69">
        <v>52.25</v>
      </c>
      <c r="E34" s="13" t="s">
        <v>190</v>
      </c>
      <c r="F34" s="13" t="s">
        <v>192</v>
      </c>
      <c r="G34" s="88">
        <v>45638</v>
      </c>
      <c r="H34" s="75">
        <v>46381</v>
      </c>
      <c r="I34" s="20">
        <v>509690209</v>
      </c>
      <c r="J34" s="78">
        <f t="shared" si="1"/>
        <v>9754836.5358851682</v>
      </c>
      <c r="K34" s="20">
        <v>115000000</v>
      </c>
      <c r="L34" s="63">
        <f t="shared" si="0"/>
        <v>0.2256272495907411</v>
      </c>
      <c r="M34" s="13">
        <v>2</v>
      </c>
      <c r="N34" s="13">
        <v>46</v>
      </c>
      <c r="O34" s="20">
        <v>11985750</v>
      </c>
      <c r="P34" s="83" t="s">
        <v>390</v>
      </c>
    </row>
    <row r="35" spans="1:17" x14ac:dyDescent="0.25">
      <c r="A35" s="13"/>
      <c r="B35" s="13"/>
      <c r="C35" s="69"/>
      <c r="D35" s="69"/>
      <c r="E35" s="13"/>
      <c r="F35" s="13"/>
      <c r="G35" s="88"/>
      <c r="H35" s="75"/>
      <c r="I35" s="82"/>
      <c r="J35" s="90"/>
      <c r="K35" s="82"/>
      <c r="L35" s="63"/>
      <c r="M35" s="13"/>
      <c r="N35" s="13"/>
      <c r="O35" s="82"/>
      <c r="P35" s="83"/>
    </row>
    <row r="36" spans="1:17" x14ac:dyDescent="0.25">
      <c r="A36" s="13"/>
      <c r="B36" s="13"/>
      <c r="C36" s="13"/>
      <c r="D36" s="13"/>
      <c r="E36" s="13"/>
      <c r="F36" s="65" t="str">
        <f>F6</f>
        <v>Cartera de 6 a 30 dias (3)</v>
      </c>
      <c r="G36" s="76"/>
      <c r="H36" s="76"/>
      <c r="I36" s="93">
        <f>I37+I38+I39+I40</f>
        <v>1773484903</v>
      </c>
      <c r="J36" s="79"/>
      <c r="K36" s="93">
        <f>K37+K38+K39+K40</f>
        <v>461063588</v>
      </c>
      <c r="L36" s="63"/>
      <c r="M36" s="64"/>
      <c r="N36" s="64"/>
      <c r="O36" s="93">
        <f>O37+O38+O39+O40</f>
        <v>6368000</v>
      </c>
      <c r="P36" s="64"/>
    </row>
    <row r="37" spans="1:17" x14ac:dyDescent="0.25">
      <c r="A37" s="13" t="s">
        <v>48</v>
      </c>
      <c r="B37" s="13" t="s">
        <v>471</v>
      </c>
      <c r="C37" s="69" t="s">
        <v>392</v>
      </c>
      <c r="D37" s="69">
        <v>48.7</v>
      </c>
      <c r="E37" s="13" t="s">
        <v>393</v>
      </c>
      <c r="F37" s="13" t="s">
        <v>391</v>
      </c>
      <c r="G37" s="88">
        <v>45769</v>
      </c>
      <c r="H37" s="75">
        <v>46464</v>
      </c>
      <c r="I37" s="82">
        <v>341614529</v>
      </c>
      <c r="J37" s="90">
        <f t="shared" si="1"/>
        <v>7014672.0533880899</v>
      </c>
      <c r="K37" s="82">
        <v>81428860</v>
      </c>
      <c r="L37" s="63">
        <f t="shared" si="0"/>
        <v>0.23836474472665067</v>
      </c>
      <c r="M37" s="13">
        <v>1</v>
      </c>
      <c r="N37" s="13">
        <v>30</v>
      </c>
      <c r="O37" s="82">
        <v>2430000</v>
      </c>
      <c r="P37" s="13" t="s">
        <v>394</v>
      </c>
    </row>
    <row r="38" spans="1:17" x14ac:dyDescent="0.25">
      <c r="A38" s="13" t="s">
        <v>48</v>
      </c>
      <c r="B38" s="13" t="s">
        <v>472</v>
      </c>
      <c r="C38" s="69" t="s">
        <v>396</v>
      </c>
      <c r="D38" s="69">
        <v>55.54</v>
      </c>
      <c r="E38" s="13" t="s">
        <v>397</v>
      </c>
      <c r="F38" s="13" t="s">
        <v>395</v>
      </c>
      <c r="G38" s="88">
        <v>45784</v>
      </c>
      <c r="H38" s="75">
        <v>46507</v>
      </c>
      <c r="I38" s="82">
        <v>388577348</v>
      </c>
      <c r="J38" s="90">
        <f t="shared" si="1"/>
        <v>6996351.2423478579</v>
      </c>
      <c r="K38" s="82">
        <v>102405000</v>
      </c>
      <c r="L38" s="63">
        <f t="shared" si="0"/>
        <v>0.26353826471634678</v>
      </c>
      <c r="M38" s="13">
        <v>1</v>
      </c>
      <c r="N38" s="13">
        <v>18</v>
      </c>
      <c r="O38" s="82">
        <v>688000</v>
      </c>
      <c r="P38" s="13" t="s">
        <v>363</v>
      </c>
    </row>
    <row r="39" spans="1:17" x14ac:dyDescent="0.25">
      <c r="A39" s="13" t="s">
        <v>48</v>
      </c>
      <c r="B39" s="13" t="s">
        <v>473</v>
      </c>
      <c r="C39" s="69" t="s">
        <v>399</v>
      </c>
      <c r="D39" s="69">
        <v>111.21</v>
      </c>
      <c r="E39" s="13" t="s">
        <v>400</v>
      </c>
      <c r="F39" s="13" t="s">
        <v>398</v>
      </c>
      <c r="G39" s="88">
        <v>45819</v>
      </c>
      <c r="H39" s="75">
        <v>46538</v>
      </c>
      <c r="I39" s="82">
        <v>1043293026</v>
      </c>
      <c r="J39" s="90">
        <f t="shared" si="1"/>
        <v>9381287.8877798766</v>
      </c>
      <c r="K39" s="82">
        <v>277229728</v>
      </c>
      <c r="L39" s="63">
        <f t="shared" si="0"/>
        <v>0.26572566008890391</v>
      </c>
      <c r="M39" s="13">
        <v>1</v>
      </c>
      <c r="N39" s="13">
        <v>18</v>
      </c>
      <c r="O39" s="82">
        <v>3250000</v>
      </c>
      <c r="P39" s="13" t="s">
        <v>394</v>
      </c>
    </row>
    <row r="40" spans="1:17" x14ac:dyDescent="0.25">
      <c r="A40" s="13"/>
      <c r="B40" s="13"/>
      <c r="C40" s="69"/>
      <c r="D40" s="69"/>
      <c r="E40" s="13"/>
      <c r="F40" s="13"/>
      <c r="G40" s="88"/>
      <c r="H40" s="75"/>
      <c r="I40" s="82"/>
      <c r="J40" s="90" t="e">
        <f t="shared" si="1"/>
        <v>#DIV/0!</v>
      </c>
      <c r="K40" s="82"/>
      <c r="L40" s="63" t="e">
        <f t="shared" si="0"/>
        <v>#DIV/0!</v>
      </c>
      <c r="M40" s="13"/>
      <c r="N40" s="13"/>
      <c r="O40" s="82"/>
      <c r="P40" s="13"/>
    </row>
    <row r="41" spans="1:17" x14ac:dyDescent="0.25">
      <c r="A41" s="14"/>
      <c r="B41" s="14"/>
      <c r="C41" s="15">
        <f>+COUNTA(C14:C40)</f>
        <v>20</v>
      </c>
      <c r="D41" s="14"/>
      <c r="E41" s="14"/>
      <c r="F41" s="14" t="s">
        <v>19</v>
      </c>
      <c r="G41" s="14"/>
      <c r="H41" s="16"/>
      <c r="I41" s="100">
        <f>I13+I18+I26+I36</f>
        <v>13620730468</v>
      </c>
      <c r="J41" s="17"/>
      <c r="K41" s="17">
        <f>K13+K18+K26+K36</f>
        <v>3286883268</v>
      </c>
      <c r="L41" s="16"/>
      <c r="M41" s="16"/>
      <c r="N41" s="17"/>
      <c r="O41" s="100">
        <f>O13+O18+O26+O36</f>
        <v>152446127</v>
      </c>
    </row>
    <row r="45" spans="1:17" x14ac:dyDescent="0.25">
      <c r="A45" s="1" t="s">
        <v>38</v>
      </c>
      <c r="C45" s="4"/>
      <c r="E45" s="5"/>
      <c r="K45" s="6"/>
      <c r="M45" s="4"/>
      <c r="O45" s="6"/>
    </row>
    <row r="46" spans="1:17" ht="67.5" x14ac:dyDescent="0.25">
      <c r="A46" s="7" t="s">
        <v>3</v>
      </c>
      <c r="B46" s="7" t="s">
        <v>4</v>
      </c>
      <c r="C46" s="7" t="s">
        <v>5</v>
      </c>
      <c r="D46" s="7" t="s">
        <v>6</v>
      </c>
      <c r="E46" s="10" t="s">
        <v>7</v>
      </c>
      <c r="F46" s="7" t="s">
        <v>8</v>
      </c>
      <c r="G46" s="9" t="s">
        <v>9</v>
      </c>
      <c r="H46" s="9" t="s">
        <v>18</v>
      </c>
      <c r="I46" s="8" t="s">
        <v>10</v>
      </c>
      <c r="J46" s="8" t="s">
        <v>11</v>
      </c>
      <c r="K46" s="12" t="s">
        <v>12</v>
      </c>
      <c r="L46" s="11" t="s">
        <v>13</v>
      </c>
      <c r="M46" s="8" t="s">
        <v>14</v>
      </c>
      <c r="N46" s="8" t="s">
        <v>15</v>
      </c>
      <c r="O46" s="12" t="s">
        <v>16</v>
      </c>
      <c r="P46" s="8" t="s">
        <v>17</v>
      </c>
    </row>
    <row r="47" spans="1:17" x14ac:dyDescent="0.25">
      <c r="A47" s="56"/>
      <c r="B47" s="56"/>
      <c r="C47" s="56"/>
      <c r="D47" s="57"/>
      <c r="E47" s="59"/>
      <c r="F47" s="58" t="s">
        <v>66</v>
      </c>
      <c r="G47" s="74"/>
      <c r="H47" s="60"/>
      <c r="I47" s="91">
        <f>I48</f>
        <v>829283543</v>
      </c>
      <c r="J47" s="77"/>
      <c r="K47" s="97">
        <f>K48</f>
        <v>42456000</v>
      </c>
      <c r="L47" s="63"/>
      <c r="M47" s="61"/>
      <c r="N47" s="61"/>
      <c r="O47" s="97">
        <f>O48</f>
        <v>9550000</v>
      </c>
      <c r="P47" s="61"/>
    </row>
    <row r="48" spans="1:17" ht="51.75" customHeight="1" x14ac:dyDescent="0.25">
      <c r="A48" s="13" t="s">
        <v>48</v>
      </c>
      <c r="B48" s="13" t="s">
        <v>177</v>
      </c>
      <c r="C48" s="13" t="s">
        <v>198</v>
      </c>
      <c r="D48" s="13">
        <v>88.73</v>
      </c>
      <c r="E48" s="13" t="s">
        <v>123</v>
      </c>
      <c r="F48" s="13" t="s">
        <v>125</v>
      </c>
      <c r="G48" s="75">
        <v>45817</v>
      </c>
      <c r="H48" s="75">
        <v>46502</v>
      </c>
      <c r="I48" s="82">
        <v>829283543</v>
      </c>
      <c r="J48" s="90">
        <f>I48/D48</f>
        <v>9346146.0948946234</v>
      </c>
      <c r="K48" s="82">
        <v>42456000</v>
      </c>
      <c r="L48" s="63">
        <f t="shared" ref="L48:L56" si="2">K48/I48</f>
        <v>5.1195999677519227E-2</v>
      </c>
      <c r="M48" s="13">
        <v>5</v>
      </c>
      <c r="N48" s="13">
        <v>136</v>
      </c>
      <c r="O48" s="82">
        <v>9550000</v>
      </c>
      <c r="P48" s="83" t="s">
        <v>374</v>
      </c>
      <c r="Q48" t="s">
        <v>319</v>
      </c>
    </row>
    <row r="49" spans="1:16" x14ac:dyDescent="0.25">
      <c r="A49" s="13" t="s">
        <v>48</v>
      </c>
      <c r="B49" s="13"/>
      <c r="C49" s="13"/>
      <c r="D49" s="13"/>
      <c r="E49" s="13"/>
      <c r="F49" s="13"/>
      <c r="G49" s="75"/>
      <c r="H49" s="75"/>
      <c r="I49" s="90"/>
      <c r="J49" s="90" t="e">
        <f t="shared" ref="J49" si="3">I49/D49</f>
        <v>#DIV/0!</v>
      </c>
      <c r="K49" s="90"/>
      <c r="L49" s="63" t="e">
        <f t="shared" si="2"/>
        <v>#DIV/0!</v>
      </c>
      <c r="M49" s="13"/>
      <c r="N49" s="13"/>
      <c r="O49" s="90"/>
      <c r="P49" s="13"/>
    </row>
    <row r="50" spans="1:16" x14ac:dyDescent="0.25">
      <c r="A50" s="13" t="s">
        <v>48</v>
      </c>
      <c r="B50" s="13"/>
      <c r="C50" s="13"/>
      <c r="D50" s="13"/>
      <c r="E50" s="13"/>
      <c r="F50" s="13"/>
      <c r="G50" s="75"/>
      <c r="H50" s="13"/>
      <c r="I50" s="78"/>
      <c r="J50" s="78"/>
      <c r="K50" s="78"/>
      <c r="L50" s="63"/>
      <c r="M50" s="13"/>
      <c r="N50" s="13"/>
      <c r="O50" s="78"/>
      <c r="P50" s="13"/>
    </row>
    <row r="51" spans="1:16" x14ac:dyDescent="0.25">
      <c r="A51" s="13" t="s">
        <v>48</v>
      </c>
      <c r="B51" s="13"/>
      <c r="C51" s="13"/>
      <c r="D51" s="13"/>
      <c r="E51" s="13"/>
      <c r="F51" s="65" t="s">
        <v>65</v>
      </c>
      <c r="G51" s="76"/>
      <c r="H51" s="64"/>
      <c r="I51" s="79"/>
      <c r="J51" s="79"/>
      <c r="K51" s="79"/>
      <c r="L51" s="63"/>
      <c r="M51" s="64"/>
      <c r="N51" s="64"/>
      <c r="O51" s="79" cm="1">
        <f t="array" aca="1" ref="O51:O53" ca="1">O52:O54</f>
        <v>0</v>
      </c>
      <c r="P51" s="64"/>
    </row>
    <row r="52" spans="1:16" x14ac:dyDescent="0.25">
      <c r="A52" s="13" t="s">
        <v>48</v>
      </c>
      <c r="B52" s="13"/>
      <c r="C52" s="13"/>
      <c r="D52" s="13"/>
      <c r="E52" s="13"/>
      <c r="F52" s="13"/>
      <c r="G52" s="75"/>
      <c r="H52" s="13"/>
      <c r="I52" s="78"/>
      <c r="J52" s="78"/>
      <c r="K52" s="78"/>
      <c r="L52" s="63"/>
      <c r="M52" s="13"/>
      <c r="N52" s="13"/>
      <c r="O52" s="78">
        <f ca="1"/>
        <v>0</v>
      </c>
      <c r="P52" s="13"/>
    </row>
    <row r="53" spans="1:16" x14ac:dyDescent="0.25">
      <c r="A53" s="13" t="s">
        <v>48</v>
      </c>
      <c r="B53" s="13"/>
      <c r="C53" s="13"/>
      <c r="D53" s="13"/>
      <c r="E53" s="13"/>
      <c r="F53" s="13"/>
      <c r="G53" s="75"/>
      <c r="H53" s="13"/>
      <c r="I53" s="78"/>
      <c r="J53" s="78"/>
      <c r="K53" s="78"/>
      <c r="L53" s="63"/>
      <c r="M53" s="13"/>
      <c r="N53" s="13"/>
      <c r="O53" s="78">
        <f ca="1"/>
        <v>0</v>
      </c>
      <c r="P53" s="13"/>
    </row>
    <row r="54" spans="1:16" x14ac:dyDescent="0.25">
      <c r="A54" s="13" t="s">
        <v>48</v>
      </c>
      <c r="B54" s="13"/>
      <c r="C54" s="13"/>
      <c r="D54" s="13"/>
      <c r="E54" s="13"/>
      <c r="F54" s="13"/>
      <c r="G54" s="75"/>
      <c r="H54" s="13"/>
      <c r="I54" s="78"/>
      <c r="J54" s="78"/>
      <c r="K54" s="78"/>
      <c r="L54" s="63"/>
      <c r="M54" s="13"/>
      <c r="N54" s="13"/>
      <c r="O54" s="78"/>
      <c r="P54" s="13"/>
    </row>
    <row r="55" spans="1:16" x14ac:dyDescent="0.25">
      <c r="A55" s="13" t="s">
        <v>48</v>
      </c>
      <c r="B55" s="13"/>
      <c r="C55" s="13"/>
      <c r="D55" s="13"/>
      <c r="E55" s="13"/>
      <c r="F55" s="65" t="s">
        <v>97</v>
      </c>
      <c r="G55" s="76"/>
      <c r="H55" s="64"/>
      <c r="I55" s="79"/>
      <c r="J55" s="79"/>
      <c r="K55" s="79"/>
      <c r="L55" s="63"/>
      <c r="M55" s="64"/>
      <c r="N55" s="64"/>
      <c r="O55" s="79"/>
      <c r="P55" s="64"/>
    </row>
    <row r="56" spans="1:16" x14ac:dyDescent="0.25">
      <c r="A56" s="13" t="s">
        <v>48</v>
      </c>
      <c r="B56" s="13"/>
      <c r="C56" s="13"/>
      <c r="D56" s="13"/>
      <c r="E56" s="13"/>
      <c r="F56" s="13"/>
      <c r="G56" s="75"/>
      <c r="H56" s="75"/>
      <c r="I56" s="78"/>
      <c r="J56" s="78" t="e">
        <f t="shared" ref="J56" si="4">I56/D56</f>
        <v>#DIV/0!</v>
      </c>
      <c r="K56" s="78"/>
      <c r="L56" s="63" t="e">
        <f t="shared" si="2"/>
        <v>#DIV/0!</v>
      </c>
      <c r="M56" s="13"/>
      <c r="N56" s="13"/>
      <c r="O56" s="78"/>
      <c r="P56" s="13"/>
    </row>
    <row r="57" spans="1:16" x14ac:dyDescent="0.25">
      <c r="A57" s="13" t="s">
        <v>48</v>
      </c>
      <c r="B57" s="13"/>
      <c r="C57" s="13"/>
      <c r="D57" s="13"/>
      <c r="E57" s="13"/>
      <c r="F57" s="13"/>
      <c r="G57" s="75"/>
      <c r="H57" s="13"/>
      <c r="I57" s="78"/>
      <c r="J57" s="78"/>
      <c r="K57" s="78"/>
      <c r="L57" s="63"/>
      <c r="M57" s="13"/>
      <c r="N57" s="13"/>
      <c r="O57" s="78"/>
      <c r="P57" s="13"/>
    </row>
    <row r="58" spans="1:16" x14ac:dyDescent="0.25">
      <c r="A58" s="13" t="s">
        <v>48</v>
      </c>
      <c r="B58" s="13"/>
      <c r="C58" s="13"/>
      <c r="D58" s="13"/>
      <c r="E58" s="13"/>
      <c r="F58" s="65" t="s">
        <v>63</v>
      </c>
      <c r="G58" s="76"/>
      <c r="H58" s="64"/>
      <c r="I58" s="79"/>
      <c r="J58" s="79"/>
      <c r="K58" s="79"/>
      <c r="L58" s="63"/>
      <c r="M58" s="64"/>
      <c r="N58" s="64"/>
      <c r="O58" s="80" cm="1">
        <f t="array" aca="1" ref="O58:O59" ca="1">O59:O60</f>
        <v>0</v>
      </c>
      <c r="P58" s="64"/>
    </row>
    <row r="59" spans="1:16" x14ac:dyDescent="0.25">
      <c r="A59" s="13" t="s">
        <v>48</v>
      </c>
      <c r="B59" s="13"/>
      <c r="C59" s="13"/>
      <c r="D59" s="13"/>
      <c r="E59" s="13"/>
      <c r="F59" s="13"/>
      <c r="G59" s="75"/>
      <c r="H59" s="13"/>
      <c r="I59" s="78"/>
      <c r="J59" s="78"/>
      <c r="K59" s="78"/>
      <c r="L59" s="63"/>
      <c r="M59" s="13"/>
      <c r="N59" s="13"/>
      <c r="O59" s="78">
        <f ca="1"/>
        <v>0</v>
      </c>
      <c r="P59" s="13"/>
    </row>
    <row r="60" spans="1:16" x14ac:dyDescent="0.25">
      <c r="A60" s="13" t="s">
        <v>48</v>
      </c>
      <c r="B60" s="13"/>
      <c r="C60" s="13"/>
      <c r="D60" s="13"/>
      <c r="E60" s="13"/>
      <c r="F60" s="13"/>
      <c r="G60" s="75"/>
      <c r="H60" s="13"/>
      <c r="I60" s="78"/>
      <c r="J60" s="78"/>
      <c r="K60" s="78"/>
      <c r="L60" s="63"/>
      <c r="M60" s="13"/>
      <c r="N60" s="13"/>
      <c r="O60" s="78"/>
      <c r="P60" s="13"/>
    </row>
    <row r="61" spans="1:16" x14ac:dyDescent="0.25">
      <c r="A61" s="14"/>
      <c r="B61" s="14"/>
      <c r="C61" s="15">
        <v>1</v>
      </c>
      <c r="D61" s="14"/>
      <c r="E61" s="14"/>
      <c r="F61" s="14" t="s">
        <v>19</v>
      </c>
      <c r="G61" s="14"/>
      <c r="H61" s="16">
        <f>SUM(H52:H60)</f>
        <v>0</v>
      </c>
      <c r="I61" s="72">
        <f>I47</f>
        <v>829283543</v>
      </c>
      <c r="J61" s="17"/>
      <c r="K61" s="72">
        <f>K47</f>
        <v>42456000</v>
      </c>
      <c r="L61" s="16"/>
      <c r="M61" s="16"/>
      <c r="N61" s="17"/>
      <c r="O61" s="100">
        <f>O47</f>
        <v>9550000</v>
      </c>
    </row>
    <row r="63" spans="1:16" x14ac:dyDescent="0.25">
      <c r="F63" s="18" t="s">
        <v>20</v>
      </c>
      <c r="G63" s="13">
        <v>80</v>
      </c>
    </row>
    <row r="64" spans="1:16" x14ac:dyDescent="0.25">
      <c r="F64" s="18" t="s">
        <v>21</v>
      </c>
      <c r="G64" s="13">
        <f>G63-G65</f>
        <v>12</v>
      </c>
    </row>
    <row r="65" spans="6:7" x14ac:dyDescent="0.25">
      <c r="F65" s="19" t="s">
        <v>22</v>
      </c>
      <c r="G65" s="13">
        <f>'[1]Cartera KALA T4'!$H$34</f>
        <v>68</v>
      </c>
    </row>
    <row r="66" spans="6:7" x14ac:dyDescent="0.25">
      <c r="F66" s="19" t="s">
        <v>35</v>
      </c>
      <c r="G66" s="78">
        <v>11927030589.66</v>
      </c>
    </row>
    <row r="67" spans="6:7" x14ac:dyDescent="0.25">
      <c r="F67" s="19" t="s">
        <v>126</v>
      </c>
      <c r="G67" s="78">
        <v>99687744.280000001</v>
      </c>
    </row>
    <row r="68" spans="6:7" x14ac:dyDescent="0.25">
      <c r="F68" s="19" t="s">
        <v>371</v>
      </c>
      <c r="G68" s="78">
        <v>135926156</v>
      </c>
    </row>
    <row r="69" spans="6:7" x14ac:dyDescent="0.25">
      <c r="F69" s="19" t="s">
        <v>23</v>
      </c>
      <c r="G69" s="20">
        <f>'[2]KALA 4'!$P$193+'[2]KALA 4'!$S$193</f>
        <v>11946374287.66</v>
      </c>
    </row>
    <row r="70" spans="6:7" x14ac:dyDescent="0.25">
      <c r="F70" s="19" t="s">
        <v>24</v>
      </c>
      <c r="G70" s="21">
        <f>O6+O7+O8+O9</f>
        <v>161996127</v>
      </c>
    </row>
    <row r="71" spans="6:7" x14ac:dyDescent="0.25">
      <c r="F71" s="19" t="s">
        <v>25</v>
      </c>
      <c r="G71" s="22">
        <f>G70/G69</f>
        <v>1.3560275536263234E-2</v>
      </c>
    </row>
    <row r="72" spans="6:7" x14ac:dyDescent="0.25">
      <c r="F72" s="19" t="s">
        <v>26</v>
      </c>
      <c r="G72" s="21">
        <v>7186000</v>
      </c>
    </row>
    <row r="73" spans="6:7" x14ac:dyDescent="0.25">
      <c r="F73" s="19" t="s">
        <v>27</v>
      </c>
      <c r="G73" s="22">
        <f>G72/G69</f>
        <v>6.0152141787678411E-4</v>
      </c>
    </row>
    <row r="74" spans="6:7" x14ac:dyDescent="0.25">
      <c r="F74" s="19" t="s">
        <v>28</v>
      </c>
      <c r="G74" s="21">
        <f>O61</f>
        <v>9550000</v>
      </c>
    </row>
    <row r="75" spans="6:7" x14ac:dyDescent="0.25">
      <c r="F75" s="19" t="s">
        <v>29</v>
      </c>
      <c r="G75" s="21">
        <f>G70-G74</f>
        <v>152446127</v>
      </c>
    </row>
    <row r="76" spans="6:7" x14ac:dyDescent="0.25">
      <c r="F76" s="19" t="s">
        <v>30</v>
      </c>
      <c r="G76" s="22">
        <f>G75/G69</f>
        <v>1.2760869811141707E-2</v>
      </c>
    </row>
    <row r="77" spans="6:7" x14ac:dyDescent="0.25">
      <c r="F77" s="19" t="s">
        <v>404</v>
      </c>
      <c r="G77" s="81">
        <v>15</v>
      </c>
    </row>
    <row r="78" spans="6:7" x14ac:dyDescent="0.25">
      <c r="F78" s="1"/>
      <c r="G78" s="28"/>
    </row>
    <row r="80" spans="6:7" x14ac:dyDescent="0.25">
      <c r="F80" s="19" t="s">
        <v>31</v>
      </c>
      <c r="G80" s="23">
        <f>O48</f>
        <v>9550000</v>
      </c>
    </row>
    <row r="81" spans="6:7" x14ac:dyDescent="0.25">
      <c r="F81" s="19" t="s">
        <v>32</v>
      </c>
      <c r="G81" s="24"/>
    </row>
    <row r="82" spans="6:7" x14ac:dyDescent="0.25">
      <c r="F82" s="19" t="s">
        <v>33</v>
      </c>
      <c r="G82" s="24">
        <v>0</v>
      </c>
    </row>
    <row r="83" spans="6:7" x14ac:dyDescent="0.25">
      <c r="F83" s="19" t="s">
        <v>34</v>
      </c>
      <c r="G83" s="24">
        <f>O56</f>
        <v>0</v>
      </c>
    </row>
    <row r="84" spans="6:7" x14ac:dyDescent="0.25">
      <c r="F84" s="19" t="s">
        <v>36</v>
      </c>
      <c r="G84" s="81">
        <v>15</v>
      </c>
    </row>
    <row r="85" spans="6:7" x14ac:dyDescent="0.25">
      <c r="F85" s="27"/>
      <c r="G85" s="29"/>
    </row>
    <row r="87" spans="6:7" x14ac:dyDescent="0.25">
      <c r="F87" s="25" t="s">
        <v>370</v>
      </c>
      <c r="G87" s="26">
        <v>1.1994421951772529E-2</v>
      </c>
    </row>
  </sheetData>
  <mergeCells count="1">
    <mergeCell ref="B3:D3"/>
  </mergeCells>
  <phoneticPr fontId="1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0103B-3190-40B4-84F5-5B050F4F4609}">
  <dimension ref="A1:L65"/>
  <sheetViews>
    <sheetView topLeftCell="B1" zoomScale="80" zoomScaleNormal="80" workbookViewId="0">
      <selection activeCell="B13" sqref="B13"/>
    </sheetView>
  </sheetViews>
  <sheetFormatPr baseColWidth="10" defaultColWidth="11.42578125" defaultRowHeight="13.5" x14ac:dyDescent="0.25"/>
  <cols>
    <col min="1" max="1" width="4.42578125" style="31" hidden="1" customWidth="1"/>
    <col min="2" max="2" width="38.85546875" style="31" customWidth="1"/>
    <col min="3" max="3" width="17.7109375" style="31" customWidth="1"/>
    <col min="4" max="4" width="22.140625" style="31" customWidth="1"/>
    <col min="5" max="5" width="21.28515625" style="31" bestFit="1" customWidth="1"/>
    <col min="6" max="7" width="21.140625" style="31" customWidth="1"/>
    <col min="8" max="8" width="22.28515625" style="31" customWidth="1"/>
    <col min="9" max="9" width="20.85546875" style="31" customWidth="1"/>
    <col min="10" max="10" width="20.7109375" style="31" customWidth="1"/>
    <col min="11" max="11" width="19.140625" style="31" customWidth="1"/>
    <col min="12" max="12" width="43.140625" style="31" customWidth="1"/>
    <col min="13" max="16384" width="11.42578125" style="31"/>
  </cols>
  <sheetData>
    <row r="1" spans="2:12" x14ac:dyDescent="0.25">
      <c r="B1" s="30"/>
      <c r="C1" s="144"/>
      <c r="J1" s="30"/>
    </row>
    <row r="2" spans="2:12" x14ac:dyDescent="0.25">
      <c r="B2" s="30"/>
      <c r="C2" s="32"/>
      <c r="J2" s="30"/>
      <c r="K2" s="33"/>
    </row>
    <row r="3" spans="2:12" x14ac:dyDescent="0.25">
      <c r="B3" s="30"/>
      <c r="F3" s="145"/>
      <c r="G3" s="145"/>
      <c r="J3" s="30"/>
      <c r="K3" s="33"/>
    </row>
    <row r="4" spans="2:12" x14ac:dyDescent="0.25">
      <c r="B4" s="30"/>
      <c r="F4" s="145"/>
      <c r="G4" s="145"/>
      <c r="J4" s="30"/>
      <c r="K4" s="33"/>
    </row>
    <row r="5" spans="2:12" x14ac:dyDescent="0.25">
      <c r="B5" s="221" t="s">
        <v>39</v>
      </c>
      <c r="C5" s="221"/>
      <c r="D5" s="221"/>
      <c r="E5" s="221"/>
      <c r="F5" s="221"/>
      <c r="G5" s="221"/>
      <c r="H5" s="221"/>
      <c r="I5" s="221"/>
      <c r="J5" s="221"/>
      <c r="K5" s="33"/>
    </row>
    <row r="6" spans="2:12" x14ac:dyDescent="0.25">
      <c r="B6" s="30"/>
      <c r="J6" s="30"/>
    </row>
    <row r="7" spans="2:12" x14ac:dyDescent="0.25">
      <c r="B7" s="30"/>
      <c r="C7" s="35" t="s">
        <v>40</v>
      </c>
      <c r="D7" s="35" t="s">
        <v>40</v>
      </c>
      <c r="E7" s="210" t="s">
        <v>40</v>
      </c>
      <c r="F7" s="35" t="s">
        <v>40</v>
      </c>
      <c r="G7" s="35" t="s">
        <v>41</v>
      </c>
      <c r="H7" s="35" t="s">
        <v>41</v>
      </c>
      <c r="I7" s="35" t="s">
        <v>41</v>
      </c>
      <c r="J7" s="211"/>
      <c r="K7" s="34" t="s">
        <v>431</v>
      </c>
    </row>
    <row r="8" spans="2:12" x14ac:dyDescent="0.25">
      <c r="B8" s="30"/>
      <c r="C8" s="35" t="s">
        <v>42</v>
      </c>
      <c r="D8" s="35" t="s">
        <v>43</v>
      </c>
      <c r="E8" s="35" t="s">
        <v>45</v>
      </c>
      <c r="F8" s="35" t="s">
        <v>46</v>
      </c>
      <c r="G8" s="212" t="s">
        <v>44</v>
      </c>
      <c r="H8" s="212" t="s">
        <v>47</v>
      </c>
      <c r="I8" s="213" t="s">
        <v>48</v>
      </c>
      <c r="J8" s="35" t="s">
        <v>49</v>
      </c>
      <c r="K8" s="35" t="s">
        <v>50</v>
      </c>
      <c r="L8" s="35" t="s">
        <v>51</v>
      </c>
    </row>
    <row r="9" spans="2:12" x14ac:dyDescent="0.25">
      <c r="B9" s="41" t="s">
        <v>22</v>
      </c>
      <c r="C9" s="194">
        <f>'KALIZA T1'!F46</f>
        <v>84</v>
      </c>
      <c r="D9" s="194">
        <f>'KALIZA T2'!F54</f>
        <v>85</v>
      </c>
      <c r="E9" s="194">
        <f>'KALA T1'!G50</f>
        <v>60</v>
      </c>
      <c r="F9" s="196">
        <f>'KALA T2 '!E48</f>
        <v>67</v>
      </c>
      <c r="G9" s="194">
        <f>'KALIZA T3'!G61</f>
        <v>79</v>
      </c>
      <c r="H9" s="194">
        <f>'KALA T3'!E52</f>
        <v>57</v>
      </c>
      <c r="I9" s="194">
        <f>'KALA T4'!G65</f>
        <v>68</v>
      </c>
      <c r="J9" s="194">
        <f>SUM(C9:I9)</f>
        <v>500</v>
      </c>
      <c r="K9" s="186"/>
      <c r="L9" s="186"/>
    </row>
    <row r="10" spans="2:12" x14ac:dyDescent="0.25">
      <c r="B10" s="41" t="s">
        <v>52</v>
      </c>
      <c r="C10" s="36">
        <f>'KALIZA T1'!F45</f>
        <v>1</v>
      </c>
      <c r="D10" s="36">
        <f>'KALIZA T2'!F53</f>
        <v>0</v>
      </c>
      <c r="E10" s="36">
        <f>'KALA T1'!G49</f>
        <v>8</v>
      </c>
      <c r="F10" s="36">
        <f>'KALA T2 '!E47</f>
        <v>5</v>
      </c>
      <c r="G10" s="36">
        <f>'KALIZA T3'!G60</f>
        <v>6</v>
      </c>
      <c r="H10" s="36">
        <f>'KALA T3'!E51</f>
        <v>9</v>
      </c>
      <c r="I10" s="36">
        <f>'KALA T4'!G64</f>
        <v>12</v>
      </c>
      <c r="J10" s="197">
        <f>C10+D10+E10+F10+H10+I10</f>
        <v>35</v>
      </c>
      <c r="K10" s="186"/>
      <c r="L10" s="186"/>
    </row>
    <row r="11" spans="2:12" x14ac:dyDescent="0.25">
      <c r="B11" s="18" t="s">
        <v>53</v>
      </c>
      <c r="C11" s="198">
        <v>40051042530</v>
      </c>
      <c r="D11" s="199">
        <v>41088247196</v>
      </c>
      <c r="E11" s="199">
        <v>42307251147</v>
      </c>
      <c r="F11" s="199">
        <v>43764351773</v>
      </c>
      <c r="G11" s="199">
        <v>40571250678</v>
      </c>
      <c r="H11" s="199">
        <v>37160663439</v>
      </c>
      <c r="I11" s="199">
        <v>41308932948</v>
      </c>
      <c r="J11" s="200">
        <f>SUM(C11:I11)</f>
        <v>286251739711</v>
      </c>
      <c r="K11" s="186"/>
      <c r="L11" s="186"/>
    </row>
    <row r="12" spans="2:12" x14ac:dyDescent="0.25">
      <c r="B12" s="18" t="s">
        <v>331</v>
      </c>
      <c r="C12" s="198">
        <f>'KALIZA T1'!F49</f>
        <v>15162372265.199999</v>
      </c>
      <c r="D12" s="199">
        <f>'KALIZA T2'!F57</f>
        <v>16137079987.030001</v>
      </c>
      <c r="E12" s="199">
        <f>'KALA T1'!G53</f>
        <v>15526661329.57</v>
      </c>
      <c r="F12" s="199">
        <f>'KALA T2 '!E51</f>
        <v>14460888408.41</v>
      </c>
      <c r="G12" s="199">
        <f>'KALIZA T3'!G62</f>
        <v>10461813732.539999</v>
      </c>
      <c r="H12" s="199">
        <f>'KALA T3'!E55</f>
        <v>11465135897.940001</v>
      </c>
      <c r="I12" s="199">
        <f>'KALA T4'!G66</f>
        <v>11927030589.66</v>
      </c>
      <c r="J12" s="200">
        <f>SUM(C12:I12)</f>
        <v>95140982210.350006</v>
      </c>
      <c r="K12" s="37">
        <f>C47+C65</f>
        <v>440368397</v>
      </c>
      <c r="L12" s="195">
        <f>J12+K12</f>
        <v>95581350607.350006</v>
      </c>
    </row>
    <row r="13" spans="2:12" ht="27" x14ac:dyDescent="0.25">
      <c r="B13" s="18" t="s">
        <v>55</v>
      </c>
      <c r="C13" s="201">
        <v>90749025.1999989</v>
      </c>
      <c r="D13" s="201">
        <v>84718105.030000702</v>
      </c>
      <c r="E13" s="199">
        <v>1960907893.4300003</v>
      </c>
      <c r="F13" s="202">
        <v>1718143724.5900002</v>
      </c>
      <c r="G13" s="199">
        <v>1635984337.460001</v>
      </c>
      <c r="H13" s="199">
        <v>100151766.05999947</v>
      </c>
      <c r="I13" s="199">
        <v>1355459777.3400002</v>
      </c>
      <c r="J13" s="200">
        <f>SUM(C13:I13)</f>
        <v>6946114629.1100006</v>
      </c>
      <c r="K13" s="39">
        <v>277091581</v>
      </c>
      <c r="L13" s="40" t="s">
        <v>56</v>
      </c>
    </row>
    <row r="14" spans="2:12" x14ac:dyDescent="0.25">
      <c r="B14" s="18" t="s">
        <v>332</v>
      </c>
      <c r="C14" s="42">
        <f t="shared" ref="C14:I14" si="0">C12/C11</f>
        <v>0.37857621942906261</v>
      </c>
      <c r="D14" s="42">
        <f t="shared" si="0"/>
        <v>0.39274199042983193</v>
      </c>
      <c r="E14" s="42">
        <f t="shared" si="0"/>
        <v>0.36699764008825214</v>
      </c>
      <c r="F14" s="42">
        <f t="shared" si="0"/>
        <v>0.33042619900819614</v>
      </c>
      <c r="G14" s="42">
        <f t="shared" si="0"/>
        <v>0.25786273673374777</v>
      </c>
      <c r="H14" s="42">
        <f t="shared" si="0"/>
        <v>0.30852882690752437</v>
      </c>
      <c r="I14" s="42">
        <f t="shared" si="0"/>
        <v>0.28872763682068081</v>
      </c>
      <c r="J14" s="42">
        <f t="shared" ref="J14" si="1">J12/J11</f>
        <v>0.33236822353081391</v>
      </c>
      <c r="K14" s="187"/>
      <c r="L14" s="188"/>
    </row>
    <row r="15" spans="2:12" x14ac:dyDescent="0.25">
      <c r="B15" s="41" t="s">
        <v>58</v>
      </c>
      <c r="C15" s="42">
        <f>[7]RESUMEN!$C$10</f>
        <v>0.99178961615433714</v>
      </c>
      <c r="D15" s="42">
        <v>0.99480000000000002</v>
      </c>
      <c r="E15" s="42">
        <v>0.88786846997288937</v>
      </c>
      <c r="F15" s="42">
        <f>[8]RESUMEN!$C$10</f>
        <v>0.88987039172969296</v>
      </c>
      <c r="G15" s="42">
        <v>0.86477007402554529</v>
      </c>
      <c r="H15" s="42">
        <v>0.99159971036756744</v>
      </c>
      <c r="I15" s="42">
        <v>0.89795138261815688</v>
      </c>
      <c r="J15" s="42"/>
      <c r="K15" s="189"/>
      <c r="L15" s="190"/>
    </row>
    <row r="16" spans="2:12" x14ac:dyDescent="0.25">
      <c r="B16" s="41" t="s">
        <v>59</v>
      </c>
      <c r="C16" s="36">
        <f>'KALIZA T1'!F50</f>
        <v>15193475798.199999</v>
      </c>
      <c r="D16" s="36">
        <f>'KALIZA T2'!F58</f>
        <v>16169954065.030001</v>
      </c>
      <c r="E16" s="36">
        <f>'KALA T1'!G54</f>
        <v>15583431783.57</v>
      </c>
      <c r="F16" s="36">
        <f>'KALA T2 '!E52</f>
        <v>14597283625.41</v>
      </c>
      <c r="G16" s="203">
        <f>'KALIZA T3'!G65</f>
        <v>10529416589.539999</v>
      </c>
      <c r="H16" s="36">
        <f>'KALA T3'!E56</f>
        <v>11584820837.940001</v>
      </c>
      <c r="I16" s="36">
        <f>'KALA T4'!G69</f>
        <v>11946374287.66</v>
      </c>
      <c r="J16" s="200">
        <f>SUM(C16:I16)</f>
        <v>95604756987.350006</v>
      </c>
      <c r="K16" s="191"/>
      <c r="L16" s="191"/>
    </row>
    <row r="17" spans="2:12" x14ac:dyDescent="0.25">
      <c r="B17" s="41" t="s">
        <v>24</v>
      </c>
      <c r="C17" s="36">
        <f>'KALIZA T1'!F51</f>
        <v>31103533</v>
      </c>
      <c r="D17" s="204">
        <f>'KALIZA T2'!F59</f>
        <v>32874078</v>
      </c>
      <c r="E17" s="204">
        <f>'KALA T1'!G55</f>
        <v>56770454</v>
      </c>
      <c r="F17" s="204">
        <f>'KALA T2 '!E53</f>
        <v>136395217</v>
      </c>
      <c r="G17" s="36">
        <f>'KALIZA T3'!G66</f>
        <v>48229029</v>
      </c>
      <c r="H17" s="204">
        <f>'KALA T3'!E57</f>
        <v>119684940</v>
      </c>
      <c r="I17" s="36">
        <f>'KALA T4'!G70</f>
        <v>161996127</v>
      </c>
      <c r="J17" s="43">
        <f>SUM(C17:I17)</f>
        <v>587053378</v>
      </c>
      <c r="K17" s="191"/>
      <c r="L17" s="191"/>
    </row>
    <row r="18" spans="2:12" x14ac:dyDescent="0.25">
      <c r="B18" s="41" t="s">
        <v>336</v>
      </c>
      <c r="C18" s="44">
        <f>'KALIZA T1'!F52</f>
        <v>2.0471637572019494E-3</v>
      </c>
      <c r="D18" s="45">
        <f>'KALIZA T2'!F60</f>
        <v>2.0330347178348033E-3</v>
      </c>
      <c r="E18" s="45">
        <f>'KALA T1'!G56</f>
        <v>3.6430007708478248E-3</v>
      </c>
      <c r="F18" s="45">
        <f>'KALA T2 '!E54</f>
        <v>9.3438766074649734E-3</v>
      </c>
      <c r="G18" s="45">
        <f>'KALIZA T3'!G67</f>
        <v>4.5804084765637514E-3</v>
      </c>
      <c r="H18" s="45">
        <f>'KALA T3'!E58</f>
        <v>1.0331186098971405E-2</v>
      </c>
      <c r="I18" s="44">
        <f>'KALA T4'!G71</f>
        <v>1.3560275536263234E-2</v>
      </c>
      <c r="J18" s="42">
        <f>J17/J16</f>
        <v>6.1404201683989039E-3</v>
      </c>
      <c r="K18" s="191"/>
      <c r="L18" s="191"/>
    </row>
    <row r="19" spans="2:12" ht="15" x14ac:dyDescent="0.25">
      <c r="B19" s="19" t="s">
        <v>26</v>
      </c>
      <c r="C19" s="205">
        <f>'KALIZA T1'!F53</f>
        <v>0</v>
      </c>
      <c r="D19" s="38">
        <f>'KALIZA T2'!F61</f>
        <v>3328800</v>
      </c>
      <c r="E19" s="38">
        <f>'KALA T1'!G57</f>
        <v>0</v>
      </c>
      <c r="F19" s="38">
        <f>'KALA T2 '!E55</f>
        <v>17592844</v>
      </c>
      <c r="G19" s="38">
        <f>'KALIZA T3'!G68</f>
        <v>19373828</v>
      </c>
      <c r="H19" s="38">
        <f>'KALA T3'!E59</f>
        <v>16593000</v>
      </c>
      <c r="I19" s="38">
        <f>'KALA T4'!G72</f>
        <v>7186000</v>
      </c>
      <c r="J19" s="38">
        <f>SUM(C19:I19)</f>
        <v>64074472</v>
      </c>
      <c r="K19" s="191"/>
      <c r="L19" s="191"/>
    </row>
    <row r="20" spans="2:12" x14ac:dyDescent="0.25">
      <c r="B20" s="41" t="s">
        <v>27</v>
      </c>
      <c r="C20" s="44">
        <f>'KALIZA T1'!H60</f>
        <v>0</v>
      </c>
      <c r="D20" s="45">
        <f>'KALIZA T2'!F62</f>
        <v>2.0586329352654373E-4</v>
      </c>
      <c r="E20" s="45">
        <f>'KALA T1'!G58</f>
        <v>0</v>
      </c>
      <c r="F20" s="45">
        <f>'KALA T2 '!E56</f>
        <v>1.2052135487300886E-3</v>
      </c>
      <c r="G20" s="45">
        <f>'KALIZA T3'!G69</f>
        <v>1.8399716485000797E-3</v>
      </c>
      <c r="H20" s="45">
        <f>'KALA T3'!E60</f>
        <v>1.4323052753356649E-3</v>
      </c>
      <c r="I20" s="45">
        <f>'KALA T4'!G73</f>
        <v>6.0152141787678411E-4</v>
      </c>
      <c r="J20" s="42">
        <f>J19/J16</f>
        <v>6.7020171400548661E-4</v>
      </c>
      <c r="K20" s="192"/>
      <c r="L20" s="191"/>
    </row>
    <row r="21" spans="2:12" ht="15" x14ac:dyDescent="0.25">
      <c r="B21" s="19" t="s">
        <v>28</v>
      </c>
      <c r="C21" s="36">
        <f>'KALIZA T1'!F55</f>
        <v>2081700</v>
      </c>
      <c r="D21" s="43">
        <f>'KALIZA T2'!F63</f>
        <v>0</v>
      </c>
      <c r="E21" s="43">
        <f>'KALA T1'!G59</f>
        <v>13533830</v>
      </c>
      <c r="F21" s="43">
        <f>'KALA T2 '!E57</f>
        <v>33532431</v>
      </c>
      <c r="G21" s="43">
        <f>'KALIZA T3'!G70</f>
        <v>976000</v>
      </c>
      <c r="H21" s="43">
        <f>'KALA T3'!E61</f>
        <v>0</v>
      </c>
      <c r="I21" s="38">
        <f>'KALA T4'!G74</f>
        <v>9550000</v>
      </c>
      <c r="J21" s="43">
        <f t="shared" ref="J21:J27" si="2">SUM(C21:I21)</f>
        <v>59673961</v>
      </c>
      <c r="K21" s="192"/>
      <c r="L21" s="191"/>
    </row>
    <row r="22" spans="2:12" x14ac:dyDescent="0.25">
      <c r="B22" s="18" t="s">
        <v>29</v>
      </c>
      <c r="C22" s="201">
        <f>'KALIZA T1'!F56</f>
        <v>29021833</v>
      </c>
      <c r="D22" s="43">
        <f>'KALIZA T2'!G69</f>
        <v>0</v>
      </c>
      <c r="E22" s="43">
        <f>'KALA T1'!G60</f>
        <v>43236624</v>
      </c>
      <c r="F22" s="43">
        <f>'KALA T2 '!E58</f>
        <v>102862786</v>
      </c>
      <c r="G22" s="43">
        <f>'KALIZA T3'!G71</f>
        <v>47253029</v>
      </c>
      <c r="H22" s="43">
        <f>'KALA T3'!E62</f>
        <v>119684940</v>
      </c>
      <c r="I22" s="38">
        <f>'KALA T4'!G75</f>
        <v>152446127</v>
      </c>
      <c r="J22" s="43">
        <f t="shared" si="2"/>
        <v>494505339</v>
      </c>
      <c r="K22" s="192"/>
      <c r="L22" s="191"/>
    </row>
    <row r="23" spans="2:12" x14ac:dyDescent="0.25">
      <c r="B23" s="18" t="s">
        <v>31</v>
      </c>
      <c r="C23" s="36">
        <f>'KALIZA T1'!F63</f>
        <v>0</v>
      </c>
      <c r="D23" s="43">
        <f>'KALIZA T2'!F69</f>
        <v>0</v>
      </c>
      <c r="E23" s="43">
        <f>'KALA T1'!G65</f>
        <v>0</v>
      </c>
      <c r="F23" s="43">
        <f>'KALA T2 '!E63</f>
        <v>0</v>
      </c>
      <c r="G23" s="43">
        <f>'KALIZA T3'!J76</f>
        <v>0</v>
      </c>
      <c r="H23" s="206">
        <f>'KALA T3'!E67</f>
        <v>0</v>
      </c>
      <c r="I23" s="38">
        <f>'KALA T4'!G80</f>
        <v>9550000</v>
      </c>
      <c r="J23" s="43">
        <f t="shared" si="2"/>
        <v>9550000</v>
      </c>
      <c r="K23" s="192"/>
      <c r="L23" s="191"/>
    </row>
    <row r="24" spans="2:12" ht="15" customHeight="1" x14ac:dyDescent="0.25">
      <c r="B24" s="18" t="s">
        <v>60</v>
      </c>
      <c r="C24" s="207">
        <v>0</v>
      </c>
      <c r="D24" s="207">
        <v>0</v>
      </c>
      <c r="E24" s="207">
        <v>0</v>
      </c>
      <c r="F24" s="207">
        <v>0</v>
      </c>
      <c r="G24" s="207">
        <v>0</v>
      </c>
      <c r="H24" s="207">
        <v>0</v>
      </c>
      <c r="I24" s="207">
        <v>1</v>
      </c>
      <c r="J24" s="207">
        <f t="shared" si="2"/>
        <v>1</v>
      </c>
      <c r="K24" s="192"/>
      <c r="L24" s="191"/>
    </row>
    <row r="25" spans="2:12" x14ac:dyDescent="0.25">
      <c r="B25" s="18" t="s">
        <v>32</v>
      </c>
      <c r="C25" s="201">
        <f>'KALIZA T1'!F62</f>
        <v>1637400</v>
      </c>
      <c r="D25" s="43">
        <f>'KALIZA T2'!F70</f>
        <v>0</v>
      </c>
      <c r="E25" s="43">
        <f>'KALA T1'!G66</f>
        <v>2744162</v>
      </c>
      <c r="F25" s="43">
        <f>'KALA T2 '!E64</f>
        <v>33532431</v>
      </c>
      <c r="G25" s="208">
        <f>'KALIZA T3'!G77</f>
        <v>0</v>
      </c>
      <c r="H25" s="208">
        <f>'[9]Cartera Kala T3'!G45</f>
        <v>0</v>
      </c>
      <c r="I25" s="209">
        <f>'[9]Cartera Kala 4'!H46</f>
        <v>0</v>
      </c>
      <c r="J25" s="43">
        <f t="shared" si="2"/>
        <v>37913993</v>
      </c>
      <c r="K25" s="192"/>
      <c r="L25" s="191"/>
    </row>
    <row r="26" spans="2:12" x14ac:dyDescent="0.25">
      <c r="B26" s="18" t="s">
        <v>33</v>
      </c>
      <c r="C26" s="205">
        <f>'KALIZA T1'!F65</f>
        <v>0</v>
      </c>
      <c r="D26" s="208">
        <f>'[9]Cartera Kaliza T2'!G46</f>
        <v>0</v>
      </c>
      <c r="E26" s="208">
        <f>'[9]Cartera Kala T1'!I42</f>
        <v>0</v>
      </c>
      <c r="F26" s="208">
        <f>'KALA T2 '!E66</f>
        <v>0</v>
      </c>
      <c r="G26" s="208">
        <f>'KALIZA T3'!G78</f>
        <v>0</v>
      </c>
      <c r="H26" s="208">
        <f>'[9]Cartera Kala T3'!G46</f>
        <v>0</v>
      </c>
      <c r="I26" s="208">
        <f>'KALA T4'!G82</f>
        <v>0</v>
      </c>
      <c r="J26" s="208">
        <f t="shared" si="2"/>
        <v>0</v>
      </c>
      <c r="K26" s="192"/>
      <c r="L26" s="191"/>
    </row>
    <row r="27" spans="2:12" x14ac:dyDescent="0.25">
      <c r="B27" s="18" t="s">
        <v>34</v>
      </c>
      <c r="C27" s="205">
        <f>'[9]Cartera Kaliza 1 '!H42</f>
        <v>0</v>
      </c>
      <c r="D27" s="208">
        <f>'[9]Cartera Kaliza T2'!G47</f>
        <v>0</v>
      </c>
      <c r="E27" s="208">
        <f>'[9]Cartera Kala T1'!I43</f>
        <v>0</v>
      </c>
      <c r="F27" s="208">
        <f>'KALA T2 '!E67</f>
        <v>0</v>
      </c>
      <c r="G27" s="208">
        <f>'KALIZA T3'!G79</f>
        <v>0</v>
      </c>
      <c r="H27" s="208">
        <f>'[9]Cartera Kala T3'!G47</f>
        <v>0</v>
      </c>
      <c r="I27" s="208">
        <f>'KALA T4'!G83</f>
        <v>0</v>
      </c>
      <c r="J27" s="208">
        <f t="shared" si="2"/>
        <v>0</v>
      </c>
      <c r="K27" s="192"/>
      <c r="L27" s="191"/>
    </row>
    <row r="28" spans="2:12" x14ac:dyDescent="0.25">
      <c r="B28" s="18" t="s">
        <v>30</v>
      </c>
      <c r="C28" s="44">
        <f>'KALIZA T1'!F57</f>
        <v>1.9101510006971725E-3</v>
      </c>
      <c r="D28" s="45">
        <f>'KALIZA T2'!F65</f>
        <v>2.0330347178348033E-3</v>
      </c>
      <c r="E28" s="45">
        <f>'KALA T1'!G61</f>
        <v>2.7745251880645092E-3</v>
      </c>
      <c r="F28" s="45">
        <f>'KALA T2 '!E59</f>
        <v>7.0467073627961275E-3</v>
      </c>
      <c r="G28" s="45">
        <f>'KALIZA T3'!G72</f>
        <v>4.4877157816076447E-3</v>
      </c>
      <c r="H28" s="45">
        <f>'KALA T3'!E63</f>
        <v>1.0331186098971405E-2</v>
      </c>
      <c r="I28" s="45">
        <f>'KALA T4'!G76</f>
        <v>1.2760869811141707E-2</v>
      </c>
      <c r="J28" s="42">
        <f>J22/J16</f>
        <v>5.1723926149975022E-3</v>
      </c>
      <c r="K28" s="192"/>
      <c r="L28" s="191"/>
    </row>
    <row r="29" spans="2:12" x14ac:dyDescent="0.25">
      <c r="B29" s="18" t="s">
        <v>13</v>
      </c>
      <c r="C29" s="42">
        <f t="shared" ref="C29:I29" si="3">C12/C16</f>
        <v>0.99795283624279807</v>
      </c>
      <c r="D29" s="42">
        <f t="shared" si="3"/>
        <v>0.99796696528216522</v>
      </c>
      <c r="E29" s="42">
        <f t="shared" si="3"/>
        <v>0.99635699922915222</v>
      </c>
      <c r="F29" s="42">
        <f t="shared" si="3"/>
        <v>0.99065612339253506</v>
      </c>
      <c r="G29" s="42">
        <f t="shared" si="3"/>
        <v>0.99357961987493615</v>
      </c>
      <c r="H29" s="42">
        <f t="shared" si="3"/>
        <v>0.98966881390102857</v>
      </c>
      <c r="I29" s="42">
        <f t="shared" si="3"/>
        <v>0.99838078922238516</v>
      </c>
      <c r="J29" s="42">
        <f t="shared" ref="J29" si="4">J12/J16</f>
        <v>0.99514904078401278</v>
      </c>
      <c r="K29" s="193"/>
      <c r="L29" s="194"/>
    </row>
    <row r="32" spans="2:12" x14ac:dyDescent="0.25">
      <c r="B32" s="18" t="s">
        <v>61</v>
      </c>
      <c r="F32" s="146"/>
      <c r="G32" s="146"/>
      <c r="I32" s="33"/>
    </row>
    <row r="33" spans="2:9" x14ac:dyDescent="0.25">
      <c r="B33" s="18" t="s">
        <v>22</v>
      </c>
      <c r="C33" s="147">
        <f>C9+D9+E9+F9</f>
        <v>296</v>
      </c>
      <c r="F33" s="33"/>
      <c r="G33" s="33"/>
      <c r="H33" s="33"/>
      <c r="I33" s="33"/>
    </row>
    <row r="34" spans="2:9" x14ac:dyDescent="0.25">
      <c r="B34" s="18" t="s">
        <v>53</v>
      </c>
      <c r="C34" s="148">
        <f>C11+D11+E11+F11</f>
        <v>167210892646</v>
      </c>
      <c r="F34" s="33"/>
      <c r="G34" s="33"/>
      <c r="H34" s="33"/>
      <c r="I34" s="33"/>
    </row>
    <row r="35" spans="2:9" x14ac:dyDescent="0.25">
      <c r="B35" s="18" t="s">
        <v>54</v>
      </c>
      <c r="C35" s="148">
        <f>C12+D12+E12+F12</f>
        <v>61287001990.210007</v>
      </c>
      <c r="D35" s="144"/>
      <c r="F35" s="46"/>
      <c r="G35" s="46"/>
      <c r="H35" s="46"/>
      <c r="I35" s="33"/>
    </row>
    <row r="36" spans="2:9" x14ac:dyDescent="0.25">
      <c r="B36" s="41" t="s">
        <v>55</v>
      </c>
      <c r="C36" s="148">
        <f>C13+D13+E13+F13</f>
        <v>3854518748.25</v>
      </c>
      <c r="D36" s="145"/>
      <c r="F36" s="46"/>
      <c r="G36" s="46"/>
      <c r="H36" s="46"/>
      <c r="I36" s="33"/>
    </row>
    <row r="37" spans="2:9" ht="29.25" customHeight="1" x14ac:dyDescent="0.25">
      <c r="B37" s="214" t="s">
        <v>57</v>
      </c>
      <c r="C37" s="42">
        <f>C35/C34</f>
        <v>0.36652517680148938</v>
      </c>
      <c r="F37" s="33"/>
      <c r="G37" s="33"/>
      <c r="H37" s="33"/>
      <c r="I37" s="33"/>
    </row>
    <row r="38" spans="2:9" x14ac:dyDescent="0.25">
      <c r="B38" s="18" t="s">
        <v>59</v>
      </c>
      <c r="C38" s="43">
        <f>C16+D16+E16+F16</f>
        <v>61544145272.210007</v>
      </c>
      <c r="F38" s="33"/>
      <c r="G38" s="33"/>
      <c r="H38" s="33"/>
    </row>
    <row r="39" spans="2:9" x14ac:dyDescent="0.25">
      <c r="B39" s="18" t="s">
        <v>24</v>
      </c>
      <c r="C39" s="43">
        <f>C17+D17+E17+F17</f>
        <v>257143282</v>
      </c>
      <c r="F39" s="33"/>
      <c r="G39" s="33"/>
      <c r="H39" s="33"/>
    </row>
    <row r="40" spans="2:9" x14ac:dyDescent="0.25">
      <c r="B40" s="18" t="s">
        <v>25</v>
      </c>
      <c r="C40" s="45">
        <f>C39/C38</f>
        <v>4.1781924318333484E-3</v>
      </c>
      <c r="F40" s="33"/>
      <c r="G40" s="33"/>
      <c r="H40" s="33"/>
    </row>
    <row r="41" spans="2:9" x14ac:dyDescent="0.25">
      <c r="B41" s="18" t="s">
        <v>26</v>
      </c>
      <c r="C41" s="38">
        <f>C19+D19+E19+F19</f>
        <v>20921644</v>
      </c>
      <c r="F41" s="33"/>
      <c r="G41" s="33"/>
      <c r="H41" s="33"/>
    </row>
    <row r="42" spans="2:9" x14ac:dyDescent="0.25">
      <c r="B42" s="18" t="s">
        <v>27</v>
      </c>
      <c r="C42" s="45">
        <f>C41/C38</f>
        <v>3.3994531742155949E-4</v>
      </c>
    </row>
    <row r="43" spans="2:9" x14ac:dyDescent="0.25">
      <c r="B43" s="18" t="s">
        <v>28</v>
      </c>
      <c r="C43" s="43">
        <f>C21+D21+E21+F21</f>
        <v>49147961</v>
      </c>
    </row>
    <row r="44" spans="2:9" x14ac:dyDescent="0.25">
      <c r="B44" s="18" t="s">
        <v>29</v>
      </c>
      <c r="C44" s="43">
        <f>C39-C43</f>
        <v>207995321</v>
      </c>
    </row>
    <row r="45" spans="2:9" x14ac:dyDescent="0.25">
      <c r="B45" s="18" t="s">
        <v>30</v>
      </c>
      <c r="C45" s="45">
        <f>C44/C38</f>
        <v>3.3796118230261523E-3</v>
      </c>
    </row>
    <row r="46" spans="2:9" x14ac:dyDescent="0.25">
      <c r="B46" s="18" t="s">
        <v>13</v>
      </c>
      <c r="C46" s="149">
        <f>C35/C38</f>
        <v>0.99582180756816663</v>
      </c>
    </row>
    <row r="47" spans="2:9" x14ac:dyDescent="0.25">
      <c r="B47" s="18" t="s">
        <v>34</v>
      </c>
      <c r="C47" s="43">
        <v>360142911</v>
      </c>
    </row>
    <row r="50" spans="2:3" x14ac:dyDescent="0.25">
      <c r="B50" s="18" t="s">
        <v>62</v>
      </c>
    </row>
    <row r="51" spans="2:3" x14ac:dyDescent="0.25">
      <c r="B51" s="18" t="s">
        <v>22</v>
      </c>
      <c r="C51" s="147">
        <f>H9+I9+G9</f>
        <v>204</v>
      </c>
    </row>
    <row r="52" spans="2:3" x14ac:dyDescent="0.25">
      <c r="B52" s="18" t="s">
        <v>53</v>
      </c>
      <c r="C52" s="148">
        <f>+H11+I11+G11</f>
        <v>119040847065</v>
      </c>
    </row>
    <row r="53" spans="2:3" x14ac:dyDescent="0.25">
      <c r="B53" s="18" t="s">
        <v>54</v>
      </c>
      <c r="C53" s="148">
        <f>+H12+I12+G12</f>
        <v>33853980220.139999</v>
      </c>
    </row>
    <row r="54" spans="2:3" x14ac:dyDescent="0.25">
      <c r="B54" s="41" t="s">
        <v>55</v>
      </c>
      <c r="C54" s="148">
        <f>H13+I13+G13</f>
        <v>3091595880.8600006</v>
      </c>
    </row>
    <row r="55" spans="2:3" x14ac:dyDescent="0.25">
      <c r="B55" s="214" t="s">
        <v>57</v>
      </c>
      <c r="C55" s="42">
        <f>C53/C52</f>
        <v>0.28438961125381335</v>
      </c>
    </row>
    <row r="56" spans="2:3" x14ac:dyDescent="0.25">
      <c r="B56" s="18" t="s">
        <v>59</v>
      </c>
      <c r="C56" s="43">
        <f>+H16+I16+G16</f>
        <v>34060611715.139999</v>
      </c>
    </row>
    <row r="57" spans="2:3" x14ac:dyDescent="0.25">
      <c r="B57" s="18" t="s">
        <v>24</v>
      </c>
      <c r="C57" s="43">
        <f>+H17+I17+G17</f>
        <v>329910096</v>
      </c>
    </row>
    <row r="58" spans="2:3" x14ac:dyDescent="0.25">
      <c r="B58" s="18" t="s">
        <v>25</v>
      </c>
      <c r="C58" s="45">
        <f>C57/C56</f>
        <v>9.6859709613892342E-3</v>
      </c>
    </row>
    <row r="59" spans="2:3" x14ac:dyDescent="0.25">
      <c r="B59" s="18" t="s">
        <v>26</v>
      </c>
      <c r="C59" s="43">
        <f>+H19+I19+G19</f>
        <v>43152828</v>
      </c>
    </row>
    <row r="60" spans="2:3" x14ac:dyDescent="0.25">
      <c r="B60" s="18" t="s">
        <v>27</v>
      </c>
      <c r="C60" s="45">
        <f>C59/C56</f>
        <v>1.2669422487447135E-3</v>
      </c>
    </row>
    <row r="61" spans="2:3" x14ac:dyDescent="0.25">
      <c r="B61" s="18" t="s">
        <v>28</v>
      </c>
      <c r="C61" s="43">
        <f>G21+I21</f>
        <v>10526000</v>
      </c>
    </row>
    <row r="62" spans="2:3" x14ac:dyDescent="0.25">
      <c r="B62" s="18" t="s">
        <v>29</v>
      </c>
      <c r="C62" s="43">
        <f>G22+H22+I22</f>
        <v>319384096</v>
      </c>
    </row>
    <row r="63" spans="2:3" x14ac:dyDescent="0.25">
      <c r="B63" s="18" t="s">
        <v>30</v>
      </c>
      <c r="C63" s="45">
        <f>C62/C56</f>
        <v>9.3769336461456809E-3</v>
      </c>
    </row>
    <row r="64" spans="2:3" x14ac:dyDescent="0.25">
      <c r="B64" s="18" t="s">
        <v>13</v>
      </c>
      <c r="C64" s="149">
        <f>C53/C56</f>
        <v>0.99393341796888068</v>
      </c>
    </row>
    <row r="65" spans="2:3" x14ac:dyDescent="0.25">
      <c r="B65" s="18" t="s">
        <v>34</v>
      </c>
      <c r="C65" s="43">
        <v>80225486</v>
      </c>
    </row>
  </sheetData>
  <mergeCells count="1">
    <mergeCell ref="B5:J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951C2-2D0A-4F0A-B907-AD7096734547}">
  <dimension ref="G5:L7"/>
  <sheetViews>
    <sheetView workbookViewId="0">
      <selection activeCell="C22" sqref="C22"/>
    </sheetView>
  </sheetViews>
  <sheetFormatPr baseColWidth="10" defaultRowHeight="15" x14ac:dyDescent="0.25"/>
  <cols>
    <col min="7" max="7" width="12" bestFit="1" customWidth="1"/>
    <col min="9" max="9" width="14.5703125" bestFit="1" customWidth="1"/>
    <col min="10" max="10" width="15.5703125" bestFit="1" customWidth="1"/>
    <col min="11" max="12" width="14.5703125" bestFit="1" customWidth="1"/>
  </cols>
  <sheetData>
    <row r="5" spans="7:12" x14ac:dyDescent="0.25">
      <c r="G5">
        <v>15057383987</v>
      </c>
      <c r="I5" t="s">
        <v>456</v>
      </c>
      <c r="J5">
        <v>16037</v>
      </c>
      <c r="K5">
        <v>99289</v>
      </c>
      <c r="L5" t="s">
        <v>456</v>
      </c>
    </row>
    <row r="6" spans="7:12" x14ac:dyDescent="0.25">
      <c r="G6">
        <v>40615885111</v>
      </c>
      <c r="H6" s="163"/>
      <c r="I6" s="163"/>
      <c r="J6" s="163">
        <f ca="1">SUBTOTAL(9,J$4:J$56)</f>
        <v>360142911</v>
      </c>
      <c r="K6" s="163">
        <f ca="1">SUBTOTAL(9,K$4:K$13)</f>
        <v>36824629</v>
      </c>
      <c r="L6" s="163">
        <f ca="1">SUBTOTAL(9,L$4:L$13)</f>
        <v>43430857</v>
      </c>
    </row>
    <row r="7" spans="7:12" x14ac:dyDescent="0.25">
      <c r="G7" s="89">
        <f>G5/G6</f>
        <v>0.37072647674301229</v>
      </c>
      <c r="K7" s="163">
        <f ca="1">K6+L6</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KALA T1</vt:lpstr>
      <vt:lpstr>KALA T2 </vt:lpstr>
      <vt:lpstr>KALIZA T1</vt:lpstr>
      <vt:lpstr>KALIZA T2</vt:lpstr>
      <vt:lpstr>KALIZA T3</vt:lpstr>
      <vt:lpstr>KALA T3</vt:lpstr>
      <vt:lpstr>KALA T4</vt:lpstr>
      <vt:lpstr>RESUMEN </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 Londoño Ospina</dc:creator>
  <cp:lastModifiedBy>Andreina Castellon Chacon</cp:lastModifiedBy>
  <dcterms:created xsi:type="dcterms:W3CDTF">2026-04-16T13:31:28Z</dcterms:created>
  <dcterms:modified xsi:type="dcterms:W3CDTF">2026-07-15T05:55:19Z</dcterms:modified>
</cp:coreProperties>
</file>